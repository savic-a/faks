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slivk\OneDrive\Nastava\SC\Ispit 2023_februar\"/>
    </mc:Choice>
  </mc:AlternateContent>
  <xr:revisionPtr revIDLastSave="0" documentId="13_ncr:1_{E3AD68E7-771B-4EF8-8280-672C407E891F}" xr6:coauthVersionLast="47" xr6:coauthVersionMax="47" xr10:uidLastSave="{00000000-0000-0000-0000-000000000000}"/>
  <bookViews>
    <workbookView xWindow="19090" yWindow="-10760" windowWidth="38620" windowHeight="212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4" i="1" l="1"/>
  <c r="N14" i="1" s="1"/>
  <c r="L15" i="1"/>
  <c r="N15" i="1" s="1"/>
  <c r="L4" i="1"/>
  <c r="N4" i="1" s="1"/>
  <c r="L5" i="1"/>
  <c r="N5" i="1" s="1"/>
  <c r="L6" i="1"/>
  <c r="N6" i="1" s="1"/>
  <c r="L7" i="1"/>
  <c r="N7" i="1" s="1"/>
  <c r="L8" i="1"/>
  <c r="N8" i="1" s="1"/>
  <c r="L9" i="1"/>
  <c r="N9" i="1" s="1"/>
  <c r="L10" i="1"/>
  <c r="N10" i="1" s="1"/>
  <c r="L11" i="1"/>
  <c r="N11" i="1" s="1"/>
  <c r="L12" i="1"/>
  <c r="N12" i="1" s="1"/>
  <c r="L13" i="1"/>
  <c r="N13" i="1" s="1"/>
  <c r="L3" i="1"/>
  <c r="N3" i="1" s="1"/>
</calcChain>
</file>

<file path=xl/sharedStrings.xml><?xml version="1.0" encoding="utf-8"?>
<sst xmlns="http://schemas.openxmlformats.org/spreadsheetml/2006/main" count="59" uniqueCount="57">
  <si>
    <t>Broj indeksa</t>
  </si>
  <si>
    <t>Prezime</t>
  </si>
  <si>
    <t>Ime</t>
  </si>
  <si>
    <t>Predispitne</t>
  </si>
  <si>
    <t>Teorija - min 11, max 30</t>
  </si>
  <si>
    <t>Teorija SUM</t>
  </si>
  <si>
    <t>Ukupno</t>
  </si>
  <si>
    <t>Ocena</t>
  </si>
  <si>
    <t>Svitić</t>
  </si>
  <si>
    <t>Jovana</t>
  </si>
  <si>
    <t>RA 38/2016</t>
  </si>
  <si>
    <t>RA 42/2017</t>
  </si>
  <si>
    <t>Marković</t>
  </si>
  <si>
    <t>Filip</t>
  </si>
  <si>
    <t>RA 97/2017</t>
  </si>
  <si>
    <t>Bobić</t>
  </si>
  <si>
    <t>Luka</t>
  </si>
  <si>
    <t>RA 143/2019</t>
  </si>
  <si>
    <t>Apostolović</t>
  </si>
  <si>
    <t>Stefan</t>
  </si>
  <si>
    <t>1 Metrike performanse 
2 boda</t>
  </si>
  <si>
    <t>3 Šum 
1 bod</t>
  </si>
  <si>
    <t>4 HOG 
5 bodova</t>
  </si>
  <si>
    <t>5 ANN 
5 bodova</t>
  </si>
  <si>
    <t>6 Detekcija objekata 
5 bodova</t>
  </si>
  <si>
    <t>7 CNN 
5 bodova</t>
  </si>
  <si>
    <t>\</t>
  </si>
  <si>
    <t>SW 75/2018</t>
  </si>
  <si>
    <t>Stojanović</t>
  </si>
  <si>
    <t>Uroš</t>
  </si>
  <si>
    <t>SW 22/2019</t>
  </si>
  <si>
    <t>Sakal Francišković</t>
  </si>
  <si>
    <t>Teodor</t>
  </si>
  <si>
    <t>SW 31/2019</t>
  </si>
  <si>
    <t>Ajder</t>
  </si>
  <si>
    <t>Milan</t>
  </si>
  <si>
    <t>SW 32/2019</t>
  </si>
  <si>
    <t>Erdelji</t>
  </si>
  <si>
    <t>Violeta</t>
  </si>
  <si>
    <t>SW 33/2019</t>
  </si>
  <si>
    <t>Mišković</t>
  </si>
  <si>
    <t>Anđela</t>
  </si>
  <si>
    <t>SW 39/2019</t>
  </si>
  <si>
    <t>Gajić</t>
  </si>
  <si>
    <t>Mladen</t>
  </si>
  <si>
    <t>SW 46/2019</t>
  </si>
  <si>
    <t>Petrović</t>
  </si>
  <si>
    <t>Milica</t>
  </si>
  <si>
    <t>SW 56/2019</t>
  </si>
  <si>
    <t>Topalović</t>
  </si>
  <si>
    <t>Saška</t>
  </si>
  <si>
    <t>SW 74/2019</t>
  </si>
  <si>
    <t>Dragićević</t>
  </si>
  <si>
    <t>Marko</t>
  </si>
  <si>
    <t>3 Histogram slike 
5 bodova</t>
  </si>
  <si>
    <t>2 HSV
2 boda</t>
  </si>
  <si>
    <t>Napomena: rezultate ću finalizovati nakon odbrane projekta jer na spisku postoje studenti koji tek trebaju da brane projekat.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</si>
</sst>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3" borderId="7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center" vertical="top" wrapText="1"/>
    </xf>
    <xf numFmtId="0" fontId="0" fillId="3" borderId="2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left" vertical="top"/>
    </xf>
    <xf numFmtId="0" fontId="0" fillId="3" borderId="2" xfId="0" applyFill="1" applyBorder="1" applyAlignment="1">
      <alignment horizontal="left" vertical="top"/>
    </xf>
    <xf numFmtId="0" fontId="0" fillId="3" borderId="3" xfId="0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3" borderId="6" xfId="0" applyFill="1" applyBorder="1" applyAlignment="1">
      <alignment horizontal="left" vertical="top"/>
    </xf>
    <xf numFmtId="0" fontId="0" fillId="3" borderId="7" xfId="0" applyFill="1" applyBorder="1" applyAlignment="1">
      <alignment horizontal="left" vertical="top"/>
    </xf>
    <xf numFmtId="0" fontId="1" fillId="3" borderId="6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/>
    </xf>
    <xf numFmtId="0" fontId="2" fillId="3" borderId="7" xfId="0" applyFont="1" applyFill="1" applyBorder="1" applyAlignment="1">
      <alignment horizontal="left" vertical="top"/>
    </xf>
    <xf numFmtId="0" fontId="2" fillId="3" borderId="8" xfId="0" applyFont="1" applyFill="1" applyBorder="1" applyAlignment="1">
      <alignment horizontal="left" vertical="top"/>
    </xf>
    <xf numFmtId="0" fontId="0" fillId="0" borderId="4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/>
    </xf>
    <xf numFmtId="0" fontId="0" fillId="0" borderId="5" xfId="0" applyFill="1" applyBorder="1" applyAlignment="1">
      <alignment horizontal="left" vertical="top"/>
    </xf>
    <xf numFmtId="0" fontId="0" fillId="0" borderId="0" xfId="0" applyFill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0" borderId="2" xfId="0" applyFill="1" applyBorder="1" applyAlignment="1">
      <alignment horizontal="left" vertical="top"/>
    </xf>
    <xf numFmtId="0" fontId="0" fillId="0" borderId="3" xfId="0" applyFill="1" applyBorder="1" applyAlignment="1">
      <alignment horizontal="left" vertical="top"/>
    </xf>
    <xf numFmtId="0" fontId="0" fillId="0" borderId="9" xfId="0" applyFill="1" applyBorder="1" applyAlignment="1">
      <alignment horizontal="left" vertical="top"/>
    </xf>
    <xf numFmtId="0" fontId="0" fillId="0" borderId="10" xfId="0" applyFill="1" applyBorder="1" applyAlignment="1">
      <alignment horizontal="left" vertical="top"/>
    </xf>
    <xf numFmtId="0" fontId="0" fillId="0" borderId="11" xfId="0" applyFill="1" applyBorder="1" applyAlignment="1">
      <alignment horizontal="left" vertical="top"/>
    </xf>
    <xf numFmtId="0" fontId="0" fillId="3" borderId="8" xfId="0" applyFill="1" applyBorder="1" applyAlignment="1">
      <alignment horizontal="left" vertical="top"/>
    </xf>
    <xf numFmtId="0" fontId="0" fillId="0" borderId="6" xfId="0" applyFill="1" applyBorder="1" applyAlignment="1">
      <alignment horizontal="left" vertical="top"/>
    </xf>
    <xf numFmtId="0" fontId="0" fillId="0" borderId="7" xfId="0" applyFill="1" applyBorder="1" applyAlignment="1">
      <alignment horizontal="left" vertical="top"/>
    </xf>
    <xf numFmtId="0" fontId="0" fillId="0" borderId="8" xfId="0" applyFill="1" applyBorder="1" applyAlignment="1">
      <alignment horizontal="left" vertical="top"/>
    </xf>
    <xf numFmtId="0" fontId="2" fillId="3" borderId="8" xfId="0" applyFont="1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workbookViewId="0">
      <selection activeCell="D20" sqref="D20"/>
    </sheetView>
  </sheetViews>
  <sheetFormatPr defaultRowHeight="14.5" x14ac:dyDescent="0.35"/>
  <cols>
    <col min="1" max="1" width="14.36328125" style="7" customWidth="1"/>
    <col min="2" max="2" width="17.54296875" style="7" customWidth="1"/>
    <col min="3" max="3" width="12.81640625" style="7" customWidth="1"/>
    <col min="4" max="4" width="8.08984375" style="7" bestFit="1" customWidth="1"/>
    <col min="5" max="5" width="4.6328125" style="7" bestFit="1" customWidth="1"/>
    <col min="6" max="6" width="4.1796875" style="7" bestFit="1" customWidth="1"/>
    <col min="7" max="7" width="9.08984375" style="7" bestFit="1" customWidth="1"/>
    <col min="8" max="9" width="6" style="7" bestFit="1" customWidth="1"/>
    <col min="10" max="10" width="7.26953125" style="7" bestFit="1" customWidth="1"/>
    <col min="11" max="11" width="6" style="7" bestFit="1" customWidth="1"/>
    <col min="12" max="12" width="10.08984375" style="7" bestFit="1" customWidth="1"/>
    <col min="13" max="13" width="9.54296875" style="7" bestFit="1" customWidth="1"/>
    <col min="14" max="14" width="6.90625" style="7" bestFit="1" customWidth="1"/>
    <col min="15" max="15" width="5.6328125" style="7" bestFit="1" customWidth="1"/>
    <col min="16" max="16" width="11.26953125" style="7" customWidth="1"/>
    <col min="17" max="16384" width="8.7265625" style="7"/>
  </cols>
  <sheetData>
    <row r="1" spans="1:16" ht="17.5" customHeight="1" x14ac:dyDescent="0.35">
      <c r="A1" s="4"/>
      <c r="B1" s="5"/>
      <c r="C1" s="6"/>
      <c r="D1" s="2" t="s">
        <v>4</v>
      </c>
      <c r="E1" s="3"/>
      <c r="F1" s="3"/>
      <c r="G1" s="3"/>
      <c r="H1" s="3"/>
      <c r="I1" s="3"/>
      <c r="J1" s="3"/>
      <c r="K1" s="3"/>
      <c r="L1" s="6"/>
      <c r="M1" s="4"/>
      <c r="N1" s="5"/>
      <c r="O1" s="6"/>
    </row>
    <row r="2" spans="1:16" ht="32.5" customHeight="1" thickBot="1" x14ac:dyDescent="0.4">
      <c r="A2" s="8" t="s">
        <v>0</v>
      </c>
      <c r="B2" s="9" t="s">
        <v>1</v>
      </c>
      <c r="C2" s="24" t="s">
        <v>2</v>
      </c>
      <c r="D2" s="10" t="s">
        <v>20</v>
      </c>
      <c r="E2" s="1" t="s">
        <v>55</v>
      </c>
      <c r="F2" s="1" t="s">
        <v>21</v>
      </c>
      <c r="G2" s="1" t="s">
        <v>54</v>
      </c>
      <c r="H2" s="1" t="s">
        <v>22</v>
      </c>
      <c r="I2" s="1" t="s">
        <v>23</v>
      </c>
      <c r="J2" s="1" t="s">
        <v>24</v>
      </c>
      <c r="K2" s="1" t="s">
        <v>25</v>
      </c>
      <c r="L2" s="28" t="s">
        <v>5</v>
      </c>
      <c r="M2" s="11" t="s">
        <v>3</v>
      </c>
      <c r="N2" s="12" t="s">
        <v>6</v>
      </c>
      <c r="O2" s="13" t="s">
        <v>7</v>
      </c>
    </row>
    <row r="3" spans="1:16" x14ac:dyDescent="0.35">
      <c r="A3" s="18" t="s">
        <v>10</v>
      </c>
      <c r="B3" s="19" t="s">
        <v>8</v>
      </c>
      <c r="C3" s="20" t="s">
        <v>9</v>
      </c>
      <c r="D3" s="18">
        <v>0</v>
      </c>
      <c r="E3" s="19">
        <v>1</v>
      </c>
      <c r="F3" s="19">
        <v>1</v>
      </c>
      <c r="G3" s="19">
        <v>5</v>
      </c>
      <c r="H3" s="19">
        <v>5</v>
      </c>
      <c r="I3" s="19">
        <v>4.5</v>
      </c>
      <c r="J3" s="19">
        <v>0</v>
      </c>
      <c r="K3" s="19">
        <v>2.5</v>
      </c>
      <c r="L3" s="20">
        <f>SUM(D3:K3)</f>
        <v>19</v>
      </c>
      <c r="M3" s="18">
        <v>22</v>
      </c>
      <c r="N3" s="19">
        <f>IF(L3&gt;=11,L3+M3,"\")</f>
        <v>41</v>
      </c>
      <c r="O3" s="20" t="s">
        <v>26</v>
      </c>
      <c r="P3" s="17"/>
    </row>
    <row r="4" spans="1:16" x14ac:dyDescent="0.35">
      <c r="A4" s="14" t="s">
        <v>11</v>
      </c>
      <c r="B4" s="15" t="s">
        <v>12</v>
      </c>
      <c r="C4" s="16" t="s">
        <v>13</v>
      </c>
      <c r="D4" s="14">
        <v>1</v>
      </c>
      <c r="E4" s="15">
        <v>1</v>
      </c>
      <c r="F4" s="15">
        <v>0.5</v>
      </c>
      <c r="G4" s="15">
        <v>5</v>
      </c>
      <c r="H4" s="15">
        <v>0</v>
      </c>
      <c r="I4" s="15">
        <v>2</v>
      </c>
      <c r="J4" s="15">
        <v>0</v>
      </c>
      <c r="K4" s="15">
        <v>0</v>
      </c>
      <c r="L4" s="29">
        <f t="shared" ref="L4:L15" si="0">SUM(D4:K4)</f>
        <v>9.5</v>
      </c>
      <c r="M4" s="14">
        <v>36</v>
      </c>
      <c r="N4" s="15" t="str">
        <f t="shared" ref="N4:N15" si="1">IF(L4&gt;=11,L4+M4,"\")</f>
        <v>\</v>
      </c>
      <c r="O4" s="16" t="s">
        <v>26</v>
      </c>
      <c r="P4" s="17"/>
    </row>
    <row r="5" spans="1:16" x14ac:dyDescent="0.35">
      <c r="A5" s="14" t="s">
        <v>14</v>
      </c>
      <c r="B5" s="15" t="s">
        <v>15</v>
      </c>
      <c r="C5" s="16" t="s">
        <v>16</v>
      </c>
      <c r="D5" s="14">
        <v>1</v>
      </c>
      <c r="E5" s="15">
        <v>1</v>
      </c>
      <c r="F5" s="15">
        <v>1</v>
      </c>
      <c r="G5" s="15">
        <v>2</v>
      </c>
      <c r="H5" s="15">
        <v>4</v>
      </c>
      <c r="I5" s="15">
        <v>4</v>
      </c>
      <c r="J5" s="15">
        <v>3</v>
      </c>
      <c r="K5" s="15">
        <v>2</v>
      </c>
      <c r="L5" s="16">
        <f t="shared" si="0"/>
        <v>18</v>
      </c>
      <c r="M5" s="14">
        <v>25</v>
      </c>
      <c r="N5" s="15">
        <f t="shared" si="1"/>
        <v>43</v>
      </c>
      <c r="O5" s="16" t="s">
        <v>26</v>
      </c>
      <c r="P5" s="17"/>
    </row>
    <row r="6" spans="1:16" x14ac:dyDescent="0.35">
      <c r="A6" s="21" t="s">
        <v>17</v>
      </c>
      <c r="B6" s="22" t="s">
        <v>18</v>
      </c>
      <c r="C6" s="23" t="s">
        <v>19</v>
      </c>
      <c r="D6" s="21">
        <v>2</v>
      </c>
      <c r="E6" s="22">
        <v>2</v>
      </c>
      <c r="F6" s="22">
        <v>1</v>
      </c>
      <c r="G6" s="22">
        <v>5</v>
      </c>
      <c r="H6" s="22">
        <v>5</v>
      </c>
      <c r="I6" s="22">
        <v>5</v>
      </c>
      <c r="J6" s="22">
        <v>6</v>
      </c>
      <c r="K6" s="22">
        <v>4</v>
      </c>
      <c r="L6" s="23">
        <f t="shared" si="0"/>
        <v>30</v>
      </c>
      <c r="M6" s="21">
        <v>58</v>
      </c>
      <c r="N6" s="22">
        <f t="shared" si="1"/>
        <v>88</v>
      </c>
      <c r="O6" s="23">
        <v>9</v>
      </c>
      <c r="P6" s="17"/>
    </row>
    <row r="7" spans="1:16" x14ac:dyDescent="0.35">
      <c r="A7" s="14" t="s">
        <v>27</v>
      </c>
      <c r="B7" s="15" t="s">
        <v>28</v>
      </c>
      <c r="C7" s="16" t="s">
        <v>29</v>
      </c>
      <c r="D7" s="14">
        <v>0</v>
      </c>
      <c r="E7" s="15">
        <v>0</v>
      </c>
      <c r="F7" s="15">
        <v>1</v>
      </c>
      <c r="G7" s="15">
        <v>4</v>
      </c>
      <c r="H7" s="15">
        <v>0</v>
      </c>
      <c r="I7" s="15">
        <v>1</v>
      </c>
      <c r="J7" s="15">
        <v>6</v>
      </c>
      <c r="K7" s="15">
        <v>0</v>
      </c>
      <c r="L7" s="16">
        <f t="shared" si="0"/>
        <v>12</v>
      </c>
      <c r="M7" s="14">
        <v>43</v>
      </c>
      <c r="N7" s="15">
        <f t="shared" si="1"/>
        <v>55</v>
      </c>
      <c r="O7" s="16">
        <v>6</v>
      </c>
      <c r="P7" s="17"/>
    </row>
    <row r="8" spans="1:16" x14ac:dyDescent="0.35">
      <c r="A8" s="14" t="s">
        <v>30</v>
      </c>
      <c r="B8" s="15" t="s">
        <v>31</v>
      </c>
      <c r="C8" s="16" t="s">
        <v>32</v>
      </c>
      <c r="D8" s="14">
        <v>2</v>
      </c>
      <c r="E8" s="15">
        <v>2</v>
      </c>
      <c r="F8" s="15">
        <v>1</v>
      </c>
      <c r="G8" s="15">
        <v>5</v>
      </c>
      <c r="H8" s="15">
        <v>5</v>
      </c>
      <c r="I8" s="15">
        <v>5</v>
      </c>
      <c r="J8" s="15">
        <v>5</v>
      </c>
      <c r="K8" s="15">
        <v>5</v>
      </c>
      <c r="L8" s="16">
        <f t="shared" si="0"/>
        <v>30</v>
      </c>
      <c r="M8" s="14">
        <v>60</v>
      </c>
      <c r="N8" s="15">
        <f t="shared" si="1"/>
        <v>90</v>
      </c>
      <c r="O8" s="16">
        <v>10</v>
      </c>
      <c r="P8" s="17"/>
    </row>
    <row r="9" spans="1:16" x14ac:dyDescent="0.35">
      <c r="A9" s="14" t="s">
        <v>33</v>
      </c>
      <c r="B9" s="15" t="s">
        <v>34</v>
      </c>
      <c r="C9" s="16" t="s">
        <v>35</v>
      </c>
      <c r="D9" s="14">
        <v>0</v>
      </c>
      <c r="E9" s="15">
        <v>2</v>
      </c>
      <c r="F9" s="15">
        <v>1</v>
      </c>
      <c r="G9" s="15">
        <v>5</v>
      </c>
      <c r="H9" s="15">
        <v>5</v>
      </c>
      <c r="I9" s="15">
        <v>0.5</v>
      </c>
      <c r="J9" s="15">
        <v>2</v>
      </c>
      <c r="K9" s="15">
        <v>0</v>
      </c>
      <c r="L9" s="16">
        <f t="shared" si="0"/>
        <v>15.5</v>
      </c>
      <c r="M9" s="14">
        <v>60</v>
      </c>
      <c r="N9" s="15">
        <f t="shared" si="1"/>
        <v>75.5</v>
      </c>
      <c r="O9" s="16">
        <v>8</v>
      </c>
      <c r="P9" s="17"/>
    </row>
    <row r="10" spans="1:16" x14ac:dyDescent="0.35">
      <c r="A10" s="14" t="s">
        <v>36</v>
      </c>
      <c r="B10" s="15" t="s">
        <v>37</v>
      </c>
      <c r="C10" s="16" t="s">
        <v>38</v>
      </c>
      <c r="D10" s="14">
        <v>2</v>
      </c>
      <c r="E10" s="15">
        <v>2</v>
      </c>
      <c r="F10" s="15">
        <v>1</v>
      </c>
      <c r="G10" s="15">
        <v>5</v>
      </c>
      <c r="H10" s="15">
        <v>5</v>
      </c>
      <c r="I10" s="15">
        <v>5</v>
      </c>
      <c r="J10" s="15">
        <v>5</v>
      </c>
      <c r="K10" s="15">
        <v>5</v>
      </c>
      <c r="L10" s="16">
        <f t="shared" si="0"/>
        <v>30</v>
      </c>
      <c r="M10" s="14">
        <v>51</v>
      </c>
      <c r="N10" s="15">
        <f t="shared" si="1"/>
        <v>81</v>
      </c>
      <c r="O10" s="16">
        <v>9</v>
      </c>
      <c r="P10" s="17"/>
    </row>
    <row r="11" spans="1:16" x14ac:dyDescent="0.35">
      <c r="A11" s="14" t="s">
        <v>39</v>
      </c>
      <c r="B11" s="15" t="s">
        <v>40</v>
      </c>
      <c r="C11" s="16" t="s">
        <v>41</v>
      </c>
      <c r="D11" s="14">
        <v>2</v>
      </c>
      <c r="E11" s="15">
        <v>2</v>
      </c>
      <c r="F11" s="15">
        <v>1</v>
      </c>
      <c r="G11" s="15">
        <v>5</v>
      </c>
      <c r="H11" s="15">
        <v>3</v>
      </c>
      <c r="I11" s="15">
        <v>5</v>
      </c>
      <c r="J11" s="15">
        <v>2</v>
      </c>
      <c r="K11" s="15">
        <v>2</v>
      </c>
      <c r="L11" s="16">
        <f t="shared" si="0"/>
        <v>22</v>
      </c>
      <c r="M11" s="14">
        <v>61</v>
      </c>
      <c r="N11" s="15">
        <f t="shared" si="1"/>
        <v>83</v>
      </c>
      <c r="O11" s="16">
        <v>9</v>
      </c>
      <c r="P11" s="17"/>
    </row>
    <row r="12" spans="1:16" x14ac:dyDescent="0.35">
      <c r="A12" s="14" t="s">
        <v>42</v>
      </c>
      <c r="B12" s="15" t="s">
        <v>43</v>
      </c>
      <c r="C12" s="16" t="s">
        <v>44</v>
      </c>
      <c r="D12" s="14">
        <v>0.5</v>
      </c>
      <c r="E12" s="15">
        <v>0</v>
      </c>
      <c r="F12" s="15">
        <v>1</v>
      </c>
      <c r="G12" s="15">
        <v>5</v>
      </c>
      <c r="H12" s="15">
        <v>5</v>
      </c>
      <c r="I12" s="15">
        <v>4.5</v>
      </c>
      <c r="J12" s="15">
        <v>5</v>
      </c>
      <c r="K12" s="15">
        <v>4.5</v>
      </c>
      <c r="L12" s="16">
        <f t="shared" si="0"/>
        <v>25.5</v>
      </c>
      <c r="M12" s="14">
        <v>60</v>
      </c>
      <c r="N12" s="15">
        <f t="shared" si="1"/>
        <v>85.5</v>
      </c>
      <c r="O12" s="16">
        <v>9</v>
      </c>
      <c r="P12" s="17"/>
    </row>
    <row r="13" spans="1:16" x14ac:dyDescent="0.35">
      <c r="A13" s="14" t="s">
        <v>45</v>
      </c>
      <c r="B13" s="15" t="s">
        <v>46</v>
      </c>
      <c r="C13" s="16" t="s">
        <v>47</v>
      </c>
      <c r="D13" s="14">
        <v>2</v>
      </c>
      <c r="E13" s="15">
        <v>2</v>
      </c>
      <c r="F13" s="15">
        <v>1</v>
      </c>
      <c r="G13" s="15">
        <v>5</v>
      </c>
      <c r="H13" s="15">
        <v>5</v>
      </c>
      <c r="I13" s="15">
        <v>5</v>
      </c>
      <c r="J13" s="15">
        <v>4.5</v>
      </c>
      <c r="K13" s="15">
        <v>4.5</v>
      </c>
      <c r="L13" s="16">
        <f t="shared" si="0"/>
        <v>29</v>
      </c>
      <c r="M13" s="14">
        <v>51</v>
      </c>
      <c r="N13" s="15">
        <f t="shared" si="1"/>
        <v>80</v>
      </c>
      <c r="O13" s="16">
        <v>9</v>
      </c>
      <c r="P13" s="17"/>
    </row>
    <row r="14" spans="1:16" x14ac:dyDescent="0.35">
      <c r="A14" s="14" t="s">
        <v>48</v>
      </c>
      <c r="B14" s="15" t="s">
        <v>49</v>
      </c>
      <c r="C14" s="16" t="s">
        <v>50</v>
      </c>
      <c r="D14" s="14">
        <v>2</v>
      </c>
      <c r="E14" s="15">
        <v>2</v>
      </c>
      <c r="F14" s="15">
        <v>1</v>
      </c>
      <c r="G14" s="15">
        <v>5</v>
      </c>
      <c r="H14" s="15">
        <v>0</v>
      </c>
      <c r="I14" s="15">
        <v>4</v>
      </c>
      <c r="J14" s="15">
        <v>5</v>
      </c>
      <c r="K14" s="15">
        <v>4</v>
      </c>
      <c r="L14" s="16">
        <f t="shared" si="0"/>
        <v>23</v>
      </c>
      <c r="M14" s="14">
        <v>46</v>
      </c>
      <c r="N14" s="15">
        <f t="shared" si="1"/>
        <v>69</v>
      </c>
      <c r="O14" s="16">
        <v>7</v>
      </c>
      <c r="P14" s="15"/>
    </row>
    <row r="15" spans="1:16" ht="15" thickBot="1" x14ac:dyDescent="0.4">
      <c r="A15" s="25" t="s">
        <v>51</v>
      </c>
      <c r="B15" s="26" t="s">
        <v>52</v>
      </c>
      <c r="C15" s="27" t="s">
        <v>53</v>
      </c>
      <c r="D15" s="25">
        <v>1</v>
      </c>
      <c r="E15" s="26">
        <v>1</v>
      </c>
      <c r="F15" s="26">
        <v>1</v>
      </c>
      <c r="G15" s="26">
        <v>5</v>
      </c>
      <c r="H15" s="26">
        <v>3.5</v>
      </c>
      <c r="I15" s="26">
        <v>5</v>
      </c>
      <c r="J15" s="26">
        <v>5</v>
      </c>
      <c r="K15" s="26">
        <v>3</v>
      </c>
      <c r="L15" s="27">
        <f t="shared" si="0"/>
        <v>24.5</v>
      </c>
      <c r="M15" s="25">
        <v>51</v>
      </c>
      <c r="N15" s="26">
        <f t="shared" si="1"/>
        <v>75.5</v>
      </c>
      <c r="O15" s="27">
        <v>8</v>
      </c>
      <c r="P15" s="15"/>
    </row>
    <row r="16" spans="1:16" x14ac:dyDescent="0.3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</row>
    <row r="17" spans="1:1" x14ac:dyDescent="0.35">
      <c r="A17" s="7" t="s">
        <v>56</v>
      </c>
    </row>
  </sheetData>
  <mergeCells count="1">
    <mergeCell ref="D1:K1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Jelena Slivka</dc:creator>
  <cp:lastModifiedBy>Jelena Slivka</cp:lastModifiedBy>
  <dcterms:created xsi:type="dcterms:W3CDTF">2015-06-05T18:17:20Z</dcterms:created>
  <dcterms:modified xsi:type="dcterms:W3CDTF">2023-02-06T14:44:02Z</dcterms:modified>
</cp:coreProperties>
</file>