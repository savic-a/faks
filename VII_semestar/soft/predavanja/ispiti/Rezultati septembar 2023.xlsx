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livk\OneDrive\Nastava\SC\Ispiti\ispit 2023_septembar\"/>
    </mc:Choice>
  </mc:AlternateContent>
  <xr:revisionPtr revIDLastSave="0" documentId="13_ncr:1_{1078662D-AFF0-4FA1-AB74-6C474CEAF8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N5" i="1" s="1"/>
  <c r="L4" i="1"/>
  <c r="N4" i="1" s="1"/>
  <c r="L3" i="1"/>
  <c r="N3" i="1" s="1"/>
</calcChain>
</file>

<file path=xl/sharedStrings.xml><?xml version="1.0" encoding="utf-8"?>
<sst xmlns="http://schemas.openxmlformats.org/spreadsheetml/2006/main" count="28" uniqueCount="26">
  <si>
    <t>Broj indeksa</t>
  </si>
  <si>
    <t>Prezime</t>
  </si>
  <si>
    <t>Ime</t>
  </si>
  <si>
    <t>Predispitne</t>
  </si>
  <si>
    <t>Teorija - min 11, max 30</t>
  </si>
  <si>
    <t>Teorija SUM</t>
  </si>
  <si>
    <t>Ukupno</t>
  </si>
  <si>
    <t>Ocena</t>
  </si>
  <si>
    <t>1 Metrike performanse 
2 boda</t>
  </si>
  <si>
    <t>3 Šum 
1 bod</t>
  </si>
  <si>
    <t>4 HOG 
5 bodova</t>
  </si>
  <si>
    <t>5 ANN 
5 bodova</t>
  </si>
  <si>
    <t>6 Detekcija objekata 
5 bodova</t>
  </si>
  <si>
    <t>7 CNN 
5 bodova</t>
  </si>
  <si>
    <t>\</t>
  </si>
  <si>
    <t>Marko</t>
  </si>
  <si>
    <t>3 Histogram slike 
5 bodova</t>
  </si>
  <si>
    <t>2 HSV
2 boda</t>
  </si>
  <si>
    <t>RA 182/2017</t>
  </si>
  <si>
    <t>Savić</t>
  </si>
  <si>
    <t>Đorđe</t>
  </si>
  <si>
    <t>RA 43/2018</t>
  </si>
  <si>
    <t>Jezdimirović</t>
  </si>
  <si>
    <t>Nataša</t>
  </si>
  <si>
    <t>SW 99/2016</t>
  </si>
  <si>
    <t>Suhanov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</si>
</sst>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7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="115" zoomScaleNormal="115" workbookViewId="0">
      <selection activeCell="F13" sqref="F13"/>
    </sheetView>
  </sheetViews>
  <sheetFormatPr defaultRowHeight="14.5" x14ac:dyDescent="0.35"/>
  <cols>
    <col min="1" max="1" width="12.08984375" style="5" bestFit="1" customWidth="1"/>
    <col min="2" max="2" width="11.1796875" style="5" bestFit="1" customWidth="1"/>
    <col min="3" max="3" width="6.81640625" style="5" bestFit="1" customWidth="1"/>
    <col min="4" max="4" width="9.1796875" style="5" customWidth="1"/>
    <col min="5" max="5" width="4.6328125" style="5" bestFit="1" customWidth="1"/>
    <col min="6" max="6" width="4.1796875" style="5" bestFit="1" customWidth="1"/>
    <col min="7" max="7" width="9.08984375" style="5" bestFit="1" customWidth="1"/>
    <col min="8" max="9" width="6" style="5" bestFit="1" customWidth="1"/>
    <col min="10" max="10" width="7.26953125" style="5" bestFit="1" customWidth="1"/>
    <col min="11" max="11" width="6" style="5" bestFit="1" customWidth="1"/>
    <col min="12" max="12" width="10.08984375" style="5" bestFit="1" customWidth="1"/>
    <col min="13" max="13" width="9.54296875" style="5" bestFit="1" customWidth="1"/>
    <col min="14" max="14" width="6.90625" style="5" bestFit="1" customWidth="1"/>
    <col min="15" max="15" width="5.6328125" style="5" bestFit="1" customWidth="1"/>
    <col min="16" max="16" width="11.26953125" style="5" customWidth="1"/>
    <col min="17" max="16384" width="8.7265625" style="5"/>
  </cols>
  <sheetData>
    <row r="1" spans="1:16" ht="17.5" customHeight="1" x14ac:dyDescent="0.35">
      <c r="A1" s="2"/>
      <c r="B1" s="3"/>
      <c r="C1" s="4"/>
      <c r="D1" s="24" t="s">
        <v>4</v>
      </c>
      <c r="E1" s="25"/>
      <c r="F1" s="25"/>
      <c r="G1" s="25"/>
      <c r="H1" s="25"/>
      <c r="I1" s="25"/>
      <c r="J1" s="25"/>
      <c r="K1" s="25"/>
      <c r="L1" s="4"/>
      <c r="M1" s="2"/>
      <c r="N1" s="3"/>
      <c r="O1" s="4"/>
    </row>
    <row r="2" spans="1:16" ht="32.5" customHeight="1" thickBot="1" x14ac:dyDescent="0.4">
      <c r="A2" s="6" t="s">
        <v>0</v>
      </c>
      <c r="B2" s="7" t="s">
        <v>1</v>
      </c>
      <c r="C2" s="19" t="s">
        <v>2</v>
      </c>
      <c r="D2" s="8" t="s">
        <v>8</v>
      </c>
      <c r="E2" s="1" t="s">
        <v>17</v>
      </c>
      <c r="F2" s="1" t="s">
        <v>9</v>
      </c>
      <c r="G2" s="1" t="s">
        <v>16</v>
      </c>
      <c r="H2" s="1" t="s">
        <v>10</v>
      </c>
      <c r="I2" s="1" t="s">
        <v>11</v>
      </c>
      <c r="J2" s="1" t="s">
        <v>12</v>
      </c>
      <c r="K2" s="1" t="s">
        <v>13</v>
      </c>
      <c r="L2" s="23" t="s">
        <v>5</v>
      </c>
      <c r="M2" s="9" t="s">
        <v>3</v>
      </c>
      <c r="N2" s="10" t="s">
        <v>6</v>
      </c>
      <c r="O2" s="11" t="s">
        <v>7</v>
      </c>
    </row>
    <row r="3" spans="1:16" x14ac:dyDescent="0.35">
      <c r="A3" s="16" t="s">
        <v>18</v>
      </c>
      <c r="B3" s="17" t="s">
        <v>19</v>
      </c>
      <c r="C3" s="18" t="s">
        <v>20</v>
      </c>
      <c r="D3" s="28">
        <v>2</v>
      </c>
      <c r="E3" s="27">
        <v>2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2</v>
      </c>
      <c r="L3" s="18">
        <f>SUM(D3:K3)</f>
        <v>6</v>
      </c>
      <c r="M3" s="16">
        <v>28</v>
      </c>
      <c r="N3" s="17">
        <f>IF(L3&gt;=11,L3+M3,M3)</f>
        <v>28</v>
      </c>
      <c r="O3" s="18" t="s">
        <v>14</v>
      </c>
      <c r="P3" s="15"/>
    </row>
    <row r="4" spans="1:16" x14ac:dyDescent="0.35">
      <c r="A4" s="12" t="s">
        <v>21</v>
      </c>
      <c r="B4" s="13" t="s">
        <v>22</v>
      </c>
      <c r="C4" s="14" t="s">
        <v>23</v>
      </c>
      <c r="D4" s="29">
        <v>2</v>
      </c>
      <c r="E4" s="26">
        <v>1</v>
      </c>
      <c r="F4" s="26">
        <v>1</v>
      </c>
      <c r="G4" s="26">
        <v>5</v>
      </c>
      <c r="H4" s="26">
        <v>0</v>
      </c>
      <c r="I4" s="26">
        <v>2</v>
      </c>
      <c r="J4" s="26">
        <v>0</v>
      </c>
      <c r="K4" s="26">
        <v>0</v>
      </c>
      <c r="L4" s="14">
        <f t="shared" ref="L4:L5" si="0">SUM(D4:K4)</f>
        <v>11</v>
      </c>
      <c r="M4" s="12">
        <v>28</v>
      </c>
      <c r="N4" s="13">
        <f t="shared" ref="N4:N5" si="1">IF(L4&gt;=11,L4+M4,M4)</f>
        <v>39</v>
      </c>
      <c r="O4" s="14" t="s">
        <v>14</v>
      </c>
      <c r="P4" s="15"/>
    </row>
    <row r="5" spans="1:16" ht="15" thickBot="1" x14ac:dyDescent="0.4">
      <c r="A5" s="20" t="s">
        <v>24</v>
      </c>
      <c r="B5" s="21" t="s">
        <v>25</v>
      </c>
      <c r="C5" s="22" t="s">
        <v>15</v>
      </c>
      <c r="D5" s="30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22">
        <f t="shared" si="0"/>
        <v>0</v>
      </c>
      <c r="M5" s="20">
        <v>28</v>
      </c>
      <c r="N5" s="21">
        <f t="shared" si="1"/>
        <v>28</v>
      </c>
      <c r="O5" s="22" t="s">
        <v>14</v>
      </c>
      <c r="P5" s="13"/>
    </row>
    <row r="6" spans="1:16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</sheetData>
  <mergeCells count="1">
    <mergeCell ref="D1:K1"/>
  </mergeCells>
  <conditionalFormatting sqref="N3:N5">
    <cfRule type="cellIs" dxfId="6" priority="4" operator="lessThan">
      <formula>50</formula>
    </cfRule>
  </conditionalFormatting>
  <conditionalFormatting sqref="L3:L5">
    <cfRule type="cellIs" dxfId="0" priority="1" operator="lessThan">
      <formula>11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2015-06-05T18:17:20Z</dcterms:created>
  <dcterms:modified xsi:type="dcterms:W3CDTF">2023-09-07T05:49:57Z</dcterms:modified>
</cp:coreProperties>
</file>