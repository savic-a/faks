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slivk\OneDrive\Nastava\SC\Ispiti\Ispit 2023_jul\"/>
    </mc:Choice>
  </mc:AlternateContent>
  <xr:revisionPtr revIDLastSave="0" documentId="13_ncr:1_{CB0C6FEF-4DE3-4E2D-A323-B4A374529F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N4" i="1" s="1"/>
  <c r="L7" i="1"/>
  <c r="N7" i="1" s="1"/>
  <c r="L2" i="1"/>
  <c r="N2" i="1" s="1"/>
  <c r="L9" i="1"/>
  <c r="N9" i="1" s="1"/>
  <c r="L5" i="1"/>
  <c r="N5" i="1" s="1"/>
  <c r="L6" i="1"/>
  <c r="N6" i="1" s="1"/>
  <c r="L8" i="1"/>
  <c r="N8" i="1" s="1"/>
  <c r="L3" i="1"/>
  <c r="N3" i="1" s="1"/>
</calcChain>
</file>

<file path=xl/sharedStrings.xml><?xml version="1.0" encoding="utf-8"?>
<sst xmlns="http://schemas.openxmlformats.org/spreadsheetml/2006/main" count="41" uniqueCount="40">
  <si>
    <t>Indeks</t>
  </si>
  <si>
    <t>Ime</t>
  </si>
  <si>
    <t>Prezime</t>
  </si>
  <si>
    <t>1. Mere performanse (2b)</t>
  </si>
  <si>
    <t>2. HSV (2b)</t>
  </si>
  <si>
    <t>3. CNN popularnost (1b)</t>
  </si>
  <si>
    <t>4. Canny (5b)</t>
  </si>
  <si>
    <t>5. Otsu (5b)</t>
  </si>
  <si>
    <t>7. K-NN (5b)</t>
  </si>
  <si>
    <t>6. Veštačke NM (5)</t>
  </si>
  <si>
    <t>8. CNN (5b)</t>
  </si>
  <si>
    <t>Predispitne</t>
  </si>
  <si>
    <t>Ukupno bodovi</t>
  </si>
  <si>
    <t>Predložena ocena</t>
  </si>
  <si>
    <t>SW 66/2019</t>
  </si>
  <si>
    <t>Đorđe</t>
  </si>
  <si>
    <t>Vajagić</t>
  </si>
  <si>
    <t>RA 12/2018</t>
  </si>
  <si>
    <t>Strahinja</t>
  </si>
  <si>
    <t>Bogdanović</t>
  </si>
  <si>
    <t>SW 16/2019</t>
  </si>
  <si>
    <t>Miladin</t>
  </si>
  <si>
    <t>Momčilović</t>
  </si>
  <si>
    <t>SW 79/2019</t>
  </si>
  <si>
    <t>Uroš</t>
  </si>
  <si>
    <t>Prijović</t>
  </si>
  <si>
    <t>\</t>
  </si>
  <si>
    <t>RA 131/2019</t>
  </si>
  <si>
    <t>Todor</t>
  </si>
  <si>
    <t>Belić</t>
  </si>
  <si>
    <t>SW 2/2019</t>
  </si>
  <si>
    <t>Laković</t>
  </si>
  <si>
    <t>Nataša</t>
  </si>
  <si>
    <t>SW 99/2016</t>
  </si>
  <si>
    <t>Marko</t>
  </si>
  <si>
    <t>Suhavnov</t>
  </si>
  <si>
    <t>SW 28/2019</t>
  </si>
  <si>
    <t>Komad</t>
  </si>
  <si>
    <t>Katarina</t>
  </si>
  <si>
    <t>Ukupno teorija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</si>
</sst>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L2" sqref="L2"/>
    </sheetView>
  </sheetViews>
  <sheetFormatPr defaultRowHeight="10.5" x14ac:dyDescent="0.35"/>
  <cols>
    <col min="1" max="1" width="9.08984375" style="1" bestFit="1" customWidth="1"/>
    <col min="2" max="3" width="8.7265625" style="1"/>
    <col min="4" max="4" width="11.36328125" style="1" customWidth="1"/>
    <col min="5" max="5" width="8.7265625" style="1"/>
    <col min="6" max="6" width="11.36328125" style="1" customWidth="1"/>
    <col min="7" max="16384" width="8.7265625" style="1"/>
  </cols>
  <sheetData>
    <row r="1" spans="1:15" ht="21.5" thickBot="1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  <c r="J1" s="3" t="s">
        <v>8</v>
      </c>
      <c r="K1" s="3" t="s">
        <v>10</v>
      </c>
      <c r="L1" s="3" t="s">
        <v>39</v>
      </c>
      <c r="M1" s="3" t="s">
        <v>11</v>
      </c>
      <c r="N1" s="3" t="s">
        <v>12</v>
      </c>
      <c r="O1" s="4" t="s">
        <v>13</v>
      </c>
    </row>
    <row r="2" spans="1:15" s="5" customFormat="1" x14ac:dyDescent="0.35">
      <c r="A2" s="9" t="s">
        <v>30</v>
      </c>
      <c r="B2" s="10" t="s">
        <v>32</v>
      </c>
      <c r="C2" s="10" t="s">
        <v>31</v>
      </c>
      <c r="D2" s="6">
        <v>2</v>
      </c>
      <c r="E2" s="6">
        <v>2</v>
      </c>
      <c r="F2" s="6">
        <v>1</v>
      </c>
      <c r="G2" s="6">
        <v>5</v>
      </c>
      <c r="H2" s="6">
        <v>5</v>
      </c>
      <c r="I2" s="6">
        <v>5</v>
      </c>
      <c r="J2" s="6">
        <v>5</v>
      </c>
      <c r="K2" s="6">
        <v>5</v>
      </c>
      <c r="L2" s="6">
        <f>SUM(D2:K2)</f>
        <v>30</v>
      </c>
      <c r="M2" s="6">
        <v>61</v>
      </c>
      <c r="N2" s="6">
        <f t="shared" ref="N2:N5" si="0">L2+M2</f>
        <v>91</v>
      </c>
      <c r="O2" s="8">
        <v>10</v>
      </c>
    </row>
    <row r="3" spans="1:15" s="5" customFormat="1" x14ac:dyDescent="0.35">
      <c r="A3" s="7" t="s">
        <v>20</v>
      </c>
      <c r="B3" s="6" t="s">
        <v>21</v>
      </c>
      <c r="C3" s="6" t="s">
        <v>22</v>
      </c>
      <c r="D3" s="6">
        <v>2</v>
      </c>
      <c r="E3" s="6">
        <v>2</v>
      </c>
      <c r="F3" s="6">
        <v>1</v>
      </c>
      <c r="G3" s="6">
        <v>5</v>
      </c>
      <c r="H3" s="6">
        <v>5</v>
      </c>
      <c r="I3" s="6">
        <v>3.5</v>
      </c>
      <c r="J3" s="6">
        <v>4</v>
      </c>
      <c r="K3" s="6">
        <v>2.5</v>
      </c>
      <c r="L3" s="6">
        <f>SUM(D3:K3)</f>
        <v>25</v>
      </c>
      <c r="M3" s="6">
        <v>71</v>
      </c>
      <c r="N3" s="6">
        <f t="shared" si="0"/>
        <v>96</v>
      </c>
      <c r="O3" s="8">
        <v>10</v>
      </c>
    </row>
    <row r="4" spans="1:15" s="5" customFormat="1" x14ac:dyDescent="0.35">
      <c r="A4" s="7" t="s">
        <v>36</v>
      </c>
      <c r="B4" s="6" t="s">
        <v>37</v>
      </c>
      <c r="C4" s="6" t="s">
        <v>38</v>
      </c>
      <c r="D4" s="6">
        <v>2</v>
      </c>
      <c r="E4" s="6">
        <v>2</v>
      </c>
      <c r="F4" s="6">
        <v>1</v>
      </c>
      <c r="G4" s="6">
        <v>5</v>
      </c>
      <c r="H4" s="6">
        <v>5</v>
      </c>
      <c r="I4" s="6">
        <v>5</v>
      </c>
      <c r="J4" s="6">
        <v>4</v>
      </c>
      <c r="K4" s="6">
        <v>5</v>
      </c>
      <c r="L4" s="6">
        <f>SUM(D4:K4)</f>
        <v>29</v>
      </c>
      <c r="M4" s="6">
        <v>52</v>
      </c>
      <c r="N4" s="6">
        <f t="shared" si="0"/>
        <v>81</v>
      </c>
      <c r="O4" s="8">
        <v>9</v>
      </c>
    </row>
    <row r="5" spans="1:15" x14ac:dyDescent="0.35">
      <c r="A5" s="9" t="s">
        <v>14</v>
      </c>
      <c r="B5" s="10" t="s">
        <v>15</v>
      </c>
      <c r="C5" s="10" t="s">
        <v>16</v>
      </c>
      <c r="D5" s="10">
        <v>2</v>
      </c>
      <c r="E5" s="10">
        <v>2</v>
      </c>
      <c r="F5" s="10">
        <v>1</v>
      </c>
      <c r="G5" s="10">
        <v>5</v>
      </c>
      <c r="H5" s="10">
        <v>5</v>
      </c>
      <c r="I5" s="10">
        <v>3.5</v>
      </c>
      <c r="J5" s="10">
        <v>2.5</v>
      </c>
      <c r="K5" s="10">
        <v>4</v>
      </c>
      <c r="L5" s="6">
        <f t="shared" ref="L5:L9" si="1">SUM(D5:K5)</f>
        <v>25</v>
      </c>
      <c r="M5" s="10">
        <v>30</v>
      </c>
      <c r="N5" s="10">
        <f t="shared" si="0"/>
        <v>55</v>
      </c>
      <c r="O5" s="11">
        <v>6</v>
      </c>
    </row>
    <row r="6" spans="1:15" x14ac:dyDescent="0.35">
      <c r="A6" s="9" t="s">
        <v>23</v>
      </c>
      <c r="B6" s="10" t="s">
        <v>24</v>
      </c>
      <c r="C6" s="10" t="s">
        <v>25</v>
      </c>
      <c r="D6" s="10">
        <v>2</v>
      </c>
      <c r="E6" s="10">
        <v>1</v>
      </c>
      <c r="F6" s="10">
        <v>1</v>
      </c>
      <c r="G6" s="10">
        <v>5</v>
      </c>
      <c r="H6" s="10">
        <v>3</v>
      </c>
      <c r="I6" s="10">
        <v>5</v>
      </c>
      <c r="J6" s="10">
        <v>2.5</v>
      </c>
      <c r="K6" s="10">
        <v>0</v>
      </c>
      <c r="L6" s="6">
        <f t="shared" si="1"/>
        <v>19.5</v>
      </c>
      <c r="M6" s="10">
        <v>43</v>
      </c>
      <c r="N6" s="10">
        <f>L6+M6</f>
        <v>62.5</v>
      </c>
      <c r="O6" s="11">
        <v>7</v>
      </c>
    </row>
    <row r="7" spans="1:15" x14ac:dyDescent="0.35">
      <c r="A7" s="9" t="s">
        <v>33</v>
      </c>
      <c r="B7" s="10" t="s">
        <v>34</v>
      </c>
      <c r="C7" s="10" t="s">
        <v>35</v>
      </c>
      <c r="D7" s="10">
        <v>2</v>
      </c>
      <c r="E7" s="10">
        <v>2</v>
      </c>
      <c r="F7" s="10">
        <v>0.5</v>
      </c>
      <c r="G7" s="10">
        <v>0</v>
      </c>
      <c r="H7" s="10">
        <v>5</v>
      </c>
      <c r="I7" s="10">
        <v>1.5</v>
      </c>
      <c r="J7" s="10">
        <v>2</v>
      </c>
      <c r="K7" s="10">
        <v>2.5</v>
      </c>
      <c r="L7" s="6">
        <f t="shared" si="1"/>
        <v>15.5</v>
      </c>
      <c r="M7" s="10">
        <v>28</v>
      </c>
      <c r="N7" s="10">
        <f>L7+M7</f>
        <v>43.5</v>
      </c>
      <c r="O7" s="11" t="s">
        <v>26</v>
      </c>
    </row>
    <row r="8" spans="1:15" x14ac:dyDescent="0.35">
      <c r="A8" s="9" t="s">
        <v>17</v>
      </c>
      <c r="B8" s="10" t="s">
        <v>18</v>
      </c>
      <c r="C8" s="10" t="s">
        <v>19</v>
      </c>
      <c r="D8" s="10">
        <v>2</v>
      </c>
      <c r="E8" s="10">
        <v>2</v>
      </c>
      <c r="F8" s="10">
        <v>1</v>
      </c>
      <c r="G8" s="10">
        <v>0</v>
      </c>
      <c r="H8" s="10">
        <v>5</v>
      </c>
      <c r="I8" s="10">
        <v>5</v>
      </c>
      <c r="J8" s="10">
        <v>5</v>
      </c>
      <c r="K8" s="10">
        <v>2.5</v>
      </c>
      <c r="L8" s="6">
        <f t="shared" si="1"/>
        <v>22.5</v>
      </c>
      <c r="M8" s="10">
        <v>25</v>
      </c>
      <c r="N8" s="10">
        <f t="shared" ref="N8:N9" si="2">L8+M8</f>
        <v>47.5</v>
      </c>
      <c r="O8" s="11" t="s">
        <v>26</v>
      </c>
    </row>
    <row r="9" spans="1:15" ht="11" thickBot="1" x14ac:dyDescent="0.4">
      <c r="A9" s="12" t="s">
        <v>27</v>
      </c>
      <c r="B9" s="13" t="s">
        <v>28</v>
      </c>
      <c r="C9" s="13" t="s">
        <v>29</v>
      </c>
      <c r="D9" s="13">
        <v>2</v>
      </c>
      <c r="E9" s="13">
        <v>2</v>
      </c>
      <c r="F9" s="13">
        <v>0.5</v>
      </c>
      <c r="G9" s="13">
        <v>5</v>
      </c>
      <c r="H9" s="13">
        <v>5</v>
      </c>
      <c r="I9" s="13">
        <v>5</v>
      </c>
      <c r="J9" s="13">
        <v>5</v>
      </c>
      <c r="K9" s="13">
        <v>5</v>
      </c>
      <c r="L9" s="13">
        <f t="shared" si="1"/>
        <v>29.5</v>
      </c>
      <c r="M9" s="13">
        <v>70</v>
      </c>
      <c r="N9" s="13">
        <f t="shared" si="2"/>
        <v>99.5</v>
      </c>
      <c r="O9" s="14">
        <v>10</v>
      </c>
    </row>
    <row r="17" spans="1:15" ht="14.5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ht="14.5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ht="14.5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ht="14.5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</sheetData>
  <conditionalFormatting sqref="L2:L9">
    <cfRule type="cellIs" dxfId="0" priority="2" operator="lessThan">
      <formula>11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Jelena Slivka</dc:creator>
  <cp:lastModifiedBy>Jelena Slivka</cp:lastModifiedBy>
  <dcterms:created xsi:type="dcterms:W3CDTF">2015-06-05T18:17:20Z</dcterms:created>
  <dcterms:modified xsi:type="dcterms:W3CDTF">2023-07-05T07:27:17Z</dcterms:modified>
</cp:coreProperties>
</file>