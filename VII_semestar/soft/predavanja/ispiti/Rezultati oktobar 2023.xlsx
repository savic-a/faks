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i\ispit 2023_oktobar\"/>
    </mc:Choice>
  </mc:AlternateContent>
  <xr:revisionPtr revIDLastSave="0" documentId="13_ncr:1_{F0F4BDC4-76B5-447F-B71D-EDA0A7E309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L4" i="1" s="1"/>
  <c r="J3" i="1"/>
  <c r="L3" i="1" s="1"/>
</calcChain>
</file>

<file path=xl/sharedStrings.xml><?xml version="1.0" encoding="utf-8"?>
<sst xmlns="http://schemas.openxmlformats.org/spreadsheetml/2006/main" count="21" uniqueCount="21">
  <si>
    <t>Broj indeksa</t>
  </si>
  <si>
    <t>Prezime</t>
  </si>
  <si>
    <t>Ime</t>
  </si>
  <si>
    <t>Predispitne</t>
  </si>
  <si>
    <t>Teorija - min 11, max 30</t>
  </si>
  <si>
    <t>Teorija SUM</t>
  </si>
  <si>
    <t>Ukupno</t>
  </si>
  <si>
    <t>Ocena</t>
  </si>
  <si>
    <t>\</t>
  </si>
  <si>
    <t>RA 182/2017</t>
  </si>
  <si>
    <t>Savić</t>
  </si>
  <si>
    <t>Đorđe</t>
  </si>
  <si>
    <t>1 ANN 
(5b)</t>
  </si>
  <si>
    <t>2 Detekcija objekata (5b)</t>
  </si>
  <si>
    <t>3 CNN (5b)</t>
  </si>
  <si>
    <t>3 Hough (5b)</t>
  </si>
  <si>
    <t>4 Detekcija ivica (5b)</t>
  </si>
  <si>
    <t>6 Superpixels (5b)</t>
  </si>
  <si>
    <t>SW 50/2019</t>
  </si>
  <si>
    <t>Čuljak</t>
  </si>
  <si>
    <t>Andrej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</si>
</sst>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5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115" zoomScaleNormal="115" workbookViewId="0">
      <selection activeCell="M5" sqref="M5"/>
    </sheetView>
  </sheetViews>
  <sheetFormatPr defaultRowHeight="14.5" x14ac:dyDescent="0.35"/>
  <cols>
    <col min="1" max="1" width="12.08984375" style="5" bestFit="1" customWidth="1"/>
    <col min="2" max="2" width="7.453125" style="5" bestFit="1" customWidth="1"/>
    <col min="3" max="3" width="6.36328125" style="5" bestFit="1" customWidth="1"/>
    <col min="4" max="4" width="4.6328125" style="5" customWidth="1"/>
    <col min="5" max="5" width="9.54296875" style="5" customWidth="1"/>
    <col min="6" max="6" width="4.90625" style="5" customWidth="1"/>
    <col min="7" max="7" width="5.81640625" style="5" customWidth="1"/>
    <col min="8" max="8" width="7.08984375" style="5" customWidth="1"/>
    <col min="9" max="9" width="9.1796875" style="5" customWidth="1"/>
    <col min="10" max="10" width="10.08984375" style="5" bestFit="1" customWidth="1"/>
    <col min="11" max="11" width="9.54296875" style="5" bestFit="1" customWidth="1"/>
    <col min="12" max="12" width="6.90625" style="5" bestFit="1" customWidth="1"/>
    <col min="13" max="13" width="5.6328125" style="5" bestFit="1" customWidth="1"/>
    <col min="14" max="14" width="11.26953125" style="5" customWidth="1"/>
    <col min="15" max="16384" width="8.7265625" style="5"/>
  </cols>
  <sheetData>
    <row r="1" spans="1:14" ht="17.5" customHeight="1" x14ac:dyDescent="0.35">
      <c r="A1" s="2"/>
      <c r="B1" s="3"/>
      <c r="C1" s="4"/>
      <c r="D1" s="26" t="s">
        <v>4</v>
      </c>
      <c r="E1" s="27"/>
      <c r="F1" s="27"/>
      <c r="G1" s="27"/>
      <c r="H1" s="27"/>
      <c r="I1" s="27"/>
      <c r="J1" s="4"/>
      <c r="K1" s="2"/>
      <c r="L1" s="3"/>
      <c r="M1" s="4"/>
    </row>
    <row r="2" spans="1:14" ht="32.5" customHeight="1" thickBot="1" x14ac:dyDescent="0.4">
      <c r="A2" s="6" t="s">
        <v>0</v>
      </c>
      <c r="B2" s="7" t="s">
        <v>1</v>
      </c>
      <c r="C2" s="17" t="s">
        <v>2</v>
      </c>
      <c r="D2" s="8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1" t="s">
        <v>5</v>
      </c>
      <c r="K2" s="9" t="s">
        <v>3</v>
      </c>
      <c r="L2" s="10" t="s">
        <v>6</v>
      </c>
      <c r="M2" s="11" t="s">
        <v>7</v>
      </c>
    </row>
    <row r="3" spans="1:14" x14ac:dyDescent="0.35">
      <c r="A3" s="14" t="s">
        <v>9</v>
      </c>
      <c r="B3" s="15" t="s">
        <v>10</v>
      </c>
      <c r="C3" s="16" t="s">
        <v>11</v>
      </c>
      <c r="D3" s="23">
        <v>3</v>
      </c>
      <c r="E3" s="22">
        <v>5</v>
      </c>
      <c r="F3" s="22">
        <v>5</v>
      </c>
      <c r="G3" s="22">
        <v>4</v>
      </c>
      <c r="H3" s="22">
        <v>5</v>
      </c>
      <c r="I3" s="22">
        <v>5</v>
      </c>
      <c r="J3" s="16">
        <f>SUM(D3:I3)</f>
        <v>27</v>
      </c>
      <c r="K3" s="14">
        <v>28</v>
      </c>
      <c r="L3" s="15">
        <f>IF(J3&gt;=11,J3+K3,K3)</f>
        <v>55</v>
      </c>
      <c r="M3" s="16">
        <v>6</v>
      </c>
      <c r="N3" s="13"/>
    </row>
    <row r="4" spans="1:14" ht="15" thickBot="1" x14ac:dyDescent="0.4">
      <c r="A4" s="18" t="s">
        <v>18</v>
      </c>
      <c r="B4" s="19" t="s">
        <v>19</v>
      </c>
      <c r="C4" s="20" t="s">
        <v>20</v>
      </c>
      <c r="D4" s="24">
        <v>1.5</v>
      </c>
      <c r="E4" s="25">
        <v>0</v>
      </c>
      <c r="F4" s="25">
        <v>0</v>
      </c>
      <c r="G4" s="25">
        <v>2</v>
      </c>
      <c r="H4" s="25">
        <v>2</v>
      </c>
      <c r="I4" s="25">
        <v>3</v>
      </c>
      <c r="J4" s="20">
        <f>SUM(D4:I4)</f>
        <v>8.5</v>
      </c>
      <c r="K4" s="18">
        <v>38</v>
      </c>
      <c r="L4" s="19">
        <f t="shared" ref="L4" si="0">IF(J4&gt;=11,J4+K4,K4)</f>
        <v>38</v>
      </c>
      <c r="M4" s="20" t="s">
        <v>8</v>
      </c>
      <c r="N4" s="12"/>
    </row>
    <row r="5" spans="1:14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</sheetData>
  <mergeCells count="1">
    <mergeCell ref="D1:I1"/>
  </mergeCells>
  <conditionalFormatting sqref="L3:L4">
    <cfRule type="cellIs" dxfId="1" priority="4" operator="lessThan">
      <formula>50</formula>
    </cfRule>
  </conditionalFormatting>
  <conditionalFormatting sqref="J3:J4">
    <cfRule type="cellIs" dxfId="0" priority="1" operator="lessThan">
      <formula>11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2023-09-14T07:45:01Z</dcterms:modified>
</cp:coreProperties>
</file>