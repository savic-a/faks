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vk\OneDrive\Nastava\Mašinsko učenje\Ispiti\2024 Jun\"/>
    </mc:Choice>
  </mc:AlternateContent>
  <xr:revisionPtr revIDLastSave="0" documentId="13_ncr:1_{5F708ECE-3FCE-41CE-B73F-E247F76641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pisak_2023_20_SES203_SV_rokJ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P3" i="1" s="1"/>
  <c r="Q3" i="1" s="1"/>
  <c r="N4" i="1" l="1"/>
  <c r="P4" i="1" s="1"/>
  <c r="Q4" i="1" s="1"/>
  <c r="N5" i="1"/>
  <c r="P5" i="1" s="1"/>
  <c r="Q5" i="1" s="1"/>
  <c r="N6" i="1"/>
  <c r="P6" i="1" s="1"/>
  <c r="Q6" i="1" s="1"/>
  <c r="N7" i="1"/>
  <c r="P7" i="1" s="1"/>
  <c r="Q7" i="1" s="1"/>
  <c r="N8" i="1"/>
  <c r="P8" i="1" s="1"/>
  <c r="Q8" i="1" s="1"/>
  <c r="N9" i="1"/>
  <c r="P9" i="1" s="1"/>
  <c r="Q9" i="1" s="1"/>
  <c r="N10" i="1"/>
  <c r="P10" i="1" s="1"/>
  <c r="Q10" i="1" s="1"/>
  <c r="N11" i="1"/>
  <c r="P11" i="1" s="1"/>
  <c r="Q11" i="1" s="1"/>
  <c r="N12" i="1"/>
  <c r="P12" i="1" s="1"/>
  <c r="Q12" i="1" s="1"/>
  <c r="N13" i="1"/>
  <c r="P13" i="1" s="1"/>
  <c r="Q13" i="1" s="1"/>
  <c r="N14" i="1"/>
  <c r="P14" i="1" s="1"/>
  <c r="Q14" i="1" s="1"/>
  <c r="N15" i="1"/>
  <c r="P15" i="1" s="1"/>
  <c r="Q15" i="1" s="1"/>
  <c r="N16" i="1"/>
  <c r="P16" i="1" s="1"/>
  <c r="Q16" i="1" s="1"/>
  <c r="N17" i="1"/>
  <c r="P17" i="1" s="1"/>
  <c r="Q17" i="1" s="1"/>
  <c r="N18" i="1"/>
  <c r="P18" i="1" s="1"/>
  <c r="Q18" i="1" s="1"/>
  <c r="N19" i="1"/>
  <c r="P19" i="1" s="1"/>
  <c r="Q19" i="1" s="1"/>
  <c r="N20" i="1"/>
  <c r="P20" i="1" s="1"/>
  <c r="Q20" i="1" s="1"/>
  <c r="N21" i="1"/>
  <c r="P21" i="1" s="1"/>
  <c r="Q21" i="1" s="1"/>
  <c r="N22" i="1"/>
  <c r="P22" i="1" s="1"/>
  <c r="Q22" i="1" s="1"/>
  <c r="N23" i="1"/>
  <c r="P23" i="1" s="1"/>
  <c r="Q23" i="1" s="1"/>
</calcChain>
</file>

<file path=xl/sharedStrings.xml><?xml version="1.0" encoding="utf-8"?>
<sst xmlns="http://schemas.openxmlformats.org/spreadsheetml/2006/main" count="81" uniqueCount="79">
  <si>
    <t>Prezime</t>
  </si>
  <si>
    <t>Ime</t>
  </si>
  <si>
    <t>Predispitni poeni</t>
  </si>
  <si>
    <t>Ukupan broj poena</t>
  </si>
  <si>
    <t>Ocena</t>
  </si>
  <si>
    <t>SV 4/2020</t>
  </si>
  <si>
    <t>Šebez</t>
  </si>
  <si>
    <t>Tadija</t>
  </si>
  <si>
    <t>SV 8/2020</t>
  </si>
  <si>
    <t>Mijanović</t>
  </si>
  <si>
    <t>Bojan</t>
  </si>
  <si>
    <t>SV 9/2020</t>
  </si>
  <si>
    <t>Bogdanović</t>
  </si>
  <si>
    <t>Vukašin</t>
  </si>
  <si>
    <t>SV 10/2020</t>
  </si>
  <si>
    <t>Majstorović</t>
  </si>
  <si>
    <t>Nemanja</t>
  </si>
  <si>
    <t>SV 12/2020</t>
  </si>
  <si>
    <t>Gazdić</t>
  </si>
  <si>
    <t>Danica</t>
  </si>
  <si>
    <t>SV 16/2020</t>
  </si>
  <si>
    <t>Stjepanović</t>
  </si>
  <si>
    <t>Srđan</t>
  </si>
  <si>
    <t>SV 21/2020</t>
  </si>
  <si>
    <t>Savić</t>
  </si>
  <si>
    <t>Nikola</t>
  </si>
  <si>
    <t>SV 24/2020</t>
  </si>
  <si>
    <t>Pajić</t>
  </si>
  <si>
    <t>Anita</t>
  </si>
  <si>
    <t>SV 34/2020</t>
  </si>
  <si>
    <t>Sekulić</t>
  </si>
  <si>
    <t>Strahinja</t>
  </si>
  <si>
    <t>Miloš</t>
  </si>
  <si>
    <t>SV 45/2020</t>
  </si>
  <si>
    <t>Ilić</t>
  </si>
  <si>
    <t>Tamara</t>
  </si>
  <si>
    <t>SV 47/2020</t>
  </si>
  <si>
    <t>Jokić</t>
  </si>
  <si>
    <t>Jovan</t>
  </si>
  <si>
    <t>SV 51/2020</t>
  </si>
  <si>
    <t>Bubnjević</t>
  </si>
  <si>
    <t>Veljko</t>
  </si>
  <si>
    <t>SV 54/2020</t>
  </si>
  <si>
    <t>Varga</t>
  </si>
  <si>
    <t>Maja</t>
  </si>
  <si>
    <t>SV 55/2020</t>
  </si>
  <si>
    <t>Obradović</t>
  </si>
  <si>
    <t>SV 57/2020</t>
  </si>
  <si>
    <t>Poček</t>
  </si>
  <si>
    <t>Uroš</t>
  </si>
  <si>
    <t>SV 66/2020</t>
  </si>
  <si>
    <t>Pejanović</t>
  </si>
  <si>
    <t>Marko</t>
  </si>
  <si>
    <t>SV 73/2020</t>
  </si>
  <si>
    <t>Radmilović</t>
  </si>
  <si>
    <t>Vuk</t>
  </si>
  <si>
    <t>SV 77/2020</t>
  </si>
  <si>
    <t>Martić</t>
  </si>
  <si>
    <t>Ivan</t>
  </si>
  <si>
    <t>SV 79/2020</t>
  </si>
  <si>
    <t>Đukanović</t>
  </si>
  <si>
    <t>SW 56/2017</t>
  </si>
  <si>
    <t>Miletić</t>
  </si>
  <si>
    <t>Bogdana</t>
  </si>
  <si>
    <t>SW 77/2019</t>
  </si>
  <si>
    <t>Vasić</t>
  </si>
  <si>
    <t>Indeks</t>
  </si>
  <si>
    <t>1. MLE (2b)</t>
  </si>
  <si>
    <t>2. 1-NN (3b)</t>
  </si>
  <si>
    <t>5. Logistička regresija (5b)</t>
  </si>
  <si>
    <t>7. LASSO (2b)</t>
  </si>
  <si>
    <t>9. SVM kernel (5b)</t>
  </si>
  <si>
    <t>10. Overfitting (5b)</t>
  </si>
  <si>
    <t>* Da biste položili teoriju, neophodno je da osvojite minimum 15 od 40 bodova</t>
  </si>
  <si>
    <t>Ukupno teorija*</t>
  </si>
  <si>
    <t>4. Logistička regresija cost (5b)</t>
  </si>
  <si>
    <t>3. Regularizacija pitanja (5b)</t>
  </si>
  <si>
    <t>6. Regularizacija formula (3b)</t>
  </si>
  <si>
    <t>8. AdaBoost  (5b)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</si>
</sst>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3" borderId="10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9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center" vertical="top" wrapText="1"/>
    </xf>
    <xf numFmtId="0" fontId="20" fillId="33" borderId="14" xfId="0" applyFont="1" applyFill="1" applyBorder="1" applyAlignment="1">
      <alignment horizontal="center" vertical="top" wrapText="1"/>
    </xf>
    <xf numFmtId="0" fontId="20" fillId="33" borderId="15" xfId="0" applyFont="1" applyFill="1" applyBorder="1" applyAlignment="1">
      <alignment horizontal="center" vertical="top" wrapText="1"/>
    </xf>
    <xf numFmtId="0" fontId="19" fillId="33" borderId="11" xfId="0" applyFont="1" applyFill="1" applyBorder="1" applyAlignment="1">
      <alignment horizontal="left" vertical="top" wrapText="1"/>
    </xf>
    <xf numFmtId="0" fontId="19" fillId="33" borderId="16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R6" sqref="R6"/>
    </sheetView>
  </sheetViews>
  <sheetFormatPr defaultRowHeight="14.5" x14ac:dyDescent="0.35"/>
  <cols>
    <col min="1" max="1" width="7.81640625" bestFit="1" customWidth="1"/>
    <col min="2" max="2" width="8.36328125" bestFit="1" customWidth="1"/>
    <col min="3" max="3" width="7.1796875" bestFit="1" customWidth="1"/>
    <col min="4" max="4" width="7.54296875" bestFit="1" customWidth="1"/>
    <col min="6" max="6" width="10.54296875" bestFit="1" customWidth="1"/>
    <col min="7" max="7" width="11.6328125" bestFit="1" customWidth="1"/>
    <col min="9" max="9" width="10.54296875" bestFit="1" customWidth="1"/>
    <col min="10" max="10" width="6.08984375" bestFit="1" customWidth="1"/>
    <col min="11" max="11" width="10.90625" bestFit="1" customWidth="1"/>
    <col min="13" max="13" width="9.6328125" bestFit="1" customWidth="1"/>
    <col min="16" max="16" width="7.7265625" bestFit="1" customWidth="1"/>
  </cols>
  <sheetData>
    <row r="1" spans="1:17" s="2" customFormat="1" ht="11" thickBot="1" x14ac:dyDescent="0.4">
      <c r="A1" s="7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ht="21.5" thickBot="1" x14ac:dyDescent="0.4">
      <c r="A2" s="10" t="s">
        <v>66</v>
      </c>
      <c r="B2" s="1" t="s">
        <v>1</v>
      </c>
      <c r="C2" s="1" t="s">
        <v>0</v>
      </c>
      <c r="D2" s="1" t="s">
        <v>67</v>
      </c>
      <c r="E2" s="1" t="s">
        <v>68</v>
      </c>
      <c r="F2" s="1" t="s">
        <v>76</v>
      </c>
      <c r="G2" s="1" t="s">
        <v>75</v>
      </c>
      <c r="H2" s="1" t="s">
        <v>69</v>
      </c>
      <c r="I2" s="1" t="s">
        <v>77</v>
      </c>
      <c r="J2" s="1" t="s">
        <v>70</v>
      </c>
      <c r="K2" s="1" t="s">
        <v>78</v>
      </c>
      <c r="L2" s="1" t="s">
        <v>71</v>
      </c>
      <c r="M2" s="1" t="s">
        <v>72</v>
      </c>
      <c r="N2" s="4" t="s">
        <v>74</v>
      </c>
      <c r="O2" s="3" t="s">
        <v>2</v>
      </c>
      <c r="P2" s="3" t="s">
        <v>3</v>
      </c>
      <c r="Q2" s="11" t="s">
        <v>4</v>
      </c>
    </row>
    <row r="3" spans="1:17" x14ac:dyDescent="0.35">
      <c r="A3" s="5" t="s">
        <v>5</v>
      </c>
      <c r="B3" s="6" t="s">
        <v>6</v>
      </c>
      <c r="C3" s="6" t="s">
        <v>7</v>
      </c>
      <c r="D3" s="6">
        <v>2</v>
      </c>
      <c r="E3" s="6">
        <v>3</v>
      </c>
      <c r="F3" s="6">
        <v>5</v>
      </c>
      <c r="G3" s="6">
        <v>0</v>
      </c>
      <c r="H3" s="6">
        <v>5</v>
      </c>
      <c r="I3" s="6">
        <v>3</v>
      </c>
      <c r="J3" s="6">
        <v>2</v>
      </c>
      <c r="K3" s="6">
        <v>0</v>
      </c>
      <c r="L3" s="6">
        <v>5</v>
      </c>
      <c r="M3" s="6">
        <v>5</v>
      </c>
      <c r="N3" s="5">
        <f>SUM(D3:M3)</f>
        <v>30</v>
      </c>
      <c r="O3" s="6">
        <v>60</v>
      </c>
      <c r="P3" s="6">
        <f>IF(N3&gt;=15, N3+O3, O3)</f>
        <v>90</v>
      </c>
      <c r="Q3" s="12">
        <f>IF(P3&gt;89,10, IF(P3&gt;79,9,IF(P3&gt;69,8,IF(P3&gt;59,7,IF(P3&gt;49,6,"\")))))</f>
        <v>10</v>
      </c>
    </row>
    <row r="4" spans="1:17" x14ac:dyDescent="0.35">
      <c r="A4" s="5" t="s">
        <v>8</v>
      </c>
      <c r="B4" s="6" t="s">
        <v>9</v>
      </c>
      <c r="C4" s="6" t="s">
        <v>10</v>
      </c>
      <c r="D4" s="6">
        <v>2</v>
      </c>
      <c r="E4" s="6">
        <v>1.5</v>
      </c>
      <c r="F4" s="6">
        <v>5</v>
      </c>
      <c r="G4" s="6">
        <v>0</v>
      </c>
      <c r="H4" s="6">
        <v>3</v>
      </c>
      <c r="I4" s="6">
        <v>3</v>
      </c>
      <c r="J4" s="6">
        <v>2</v>
      </c>
      <c r="K4" s="6">
        <v>4</v>
      </c>
      <c r="L4" s="6">
        <v>5</v>
      </c>
      <c r="M4" s="6">
        <v>5</v>
      </c>
      <c r="N4" s="5">
        <f t="shared" ref="N4:N23" si="0">SUM(D4:M4)</f>
        <v>30.5</v>
      </c>
      <c r="O4" s="6">
        <v>60</v>
      </c>
      <c r="P4" s="6">
        <f t="shared" ref="P4:P23" si="1">N4+O4</f>
        <v>90.5</v>
      </c>
      <c r="Q4" s="12">
        <f t="shared" ref="Q4:Q23" si="2">IF(P4&gt;89,10, IF(P4&gt;79,9,IF(P4&gt;69,8,IF(P4&gt;59,7,IF(P4&gt;49,6,"\")))))</f>
        <v>10</v>
      </c>
    </row>
    <row r="5" spans="1:17" x14ac:dyDescent="0.35">
      <c r="A5" s="5" t="s">
        <v>11</v>
      </c>
      <c r="B5" s="6" t="s">
        <v>12</v>
      </c>
      <c r="C5" s="6" t="s">
        <v>13</v>
      </c>
      <c r="D5" s="6">
        <v>2</v>
      </c>
      <c r="E5" s="6">
        <v>1.5</v>
      </c>
      <c r="F5" s="6">
        <v>4</v>
      </c>
      <c r="G5" s="6">
        <v>5</v>
      </c>
      <c r="H5" s="6">
        <v>4</v>
      </c>
      <c r="I5" s="6">
        <v>3</v>
      </c>
      <c r="J5" s="6">
        <v>2</v>
      </c>
      <c r="K5" s="6">
        <v>4</v>
      </c>
      <c r="L5" s="6">
        <v>5</v>
      </c>
      <c r="M5" s="6">
        <v>5</v>
      </c>
      <c r="N5" s="5">
        <f t="shared" si="0"/>
        <v>35.5</v>
      </c>
      <c r="O5" s="6">
        <v>60</v>
      </c>
      <c r="P5" s="6">
        <f t="shared" si="1"/>
        <v>95.5</v>
      </c>
      <c r="Q5" s="12">
        <f t="shared" si="2"/>
        <v>10</v>
      </c>
    </row>
    <row r="6" spans="1:17" x14ac:dyDescent="0.35">
      <c r="A6" s="5" t="s">
        <v>14</v>
      </c>
      <c r="B6" s="6" t="s">
        <v>15</v>
      </c>
      <c r="C6" s="6" t="s">
        <v>16</v>
      </c>
      <c r="D6" s="6">
        <v>2</v>
      </c>
      <c r="E6" s="6">
        <v>0</v>
      </c>
      <c r="F6" s="6">
        <v>4</v>
      </c>
      <c r="G6" s="6">
        <v>0</v>
      </c>
      <c r="H6" s="6">
        <v>4</v>
      </c>
      <c r="I6" s="6">
        <v>2</v>
      </c>
      <c r="J6" s="6">
        <v>1</v>
      </c>
      <c r="K6" s="6">
        <v>0</v>
      </c>
      <c r="L6" s="6">
        <v>5</v>
      </c>
      <c r="M6" s="6">
        <v>3</v>
      </c>
      <c r="N6" s="5">
        <f t="shared" si="0"/>
        <v>21</v>
      </c>
      <c r="O6" s="6">
        <v>60</v>
      </c>
      <c r="P6" s="6">
        <f t="shared" si="1"/>
        <v>81</v>
      </c>
      <c r="Q6" s="12">
        <f t="shared" si="2"/>
        <v>9</v>
      </c>
    </row>
    <row r="7" spans="1:17" x14ac:dyDescent="0.35">
      <c r="A7" s="5" t="s">
        <v>17</v>
      </c>
      <c r="B7" s="6" t="s">
        <v>18</v>
      </c>
      <c r="C7" s="6" t="s">
        <v>19</v>
      </c>
      <c r="D7" s="6">
        <v>2</v>
      </c>
      <c r="E7" s="6">
        <v>3</v>
      </c>
      <c r="F7" s="6">
        <v>3</v>
      </c>
      <c r="G7" s="6">
        <v>5</v>
      </c>
      <c r="H7" s="6">
        <v>5</v>
      </c>
      <c r="I7" s="6">
        <v>3</v>
      </c>
      <c r="J7" s="6">
        <v>2</v>
      </c>
      <c r="K7" s="6">
        <v>4</v>
      </c>
      <c r="L7" s="6">
        <v>5</v>
      </c>
      <c r="M7" s="6">
        <v>5</v>
      </c>
      <c r="N7" s="5">
        <f t="shared" si="0"/>
        <v>37</v>
      </c>
      <c r="O7" s="6">
        <v>60</v>
      </c>
      <c r="P7" s="6">
        <f t="shared" si="1"/>
        <v>97</v>
      </c>
      <c r="Q7" s="12">
        <f t="shared" si="2"/>
        <v>10</v>
      </c>
    </row>
    <row r="8" spans="1:17" x14ac:dyDescent="0.35">
      <c r="A8" s="5" t="s">
        <v>20</v>
      </c>
      <c r="B8" s="6" t="s">
        <v>21</v>
      </c>
      <c r="C8" s="6" t="s">
        <v>22</v>
      </c>
      <c r="D8" s="6">
        <v>2</v>
      </c>
      <c r="E8" s="6">
        <v>3</v>
      </c>
      <c r="F8" s="6">
        <v>5</v>
      </c>
      <c r="G8" s="6">
        <v>5</v>
      </c>
      <c r="H8" s="6">
        <v>5</v>
      </c>
      <c r="I8" s="6">
        <v>3</v>
      </c>
      <c r="J8" s="6">
        <v>2</v>
      </c>
      <c r="K8" s="6">
        <v>5</v>
      </c>
      <c r="L8" s="6">
        <v>5</v>
      </c>
      <c r="M8" s="6">
        <v>5</v>
      </c>
      <c r="N8" s="5">
        <f t="shared" si="0"/>
        <v>40</v>
      </c>
      <c r="O8" s="6">
        <v>60</v>
      </c>
      <c r="P8" s="6">
        <f t="shared" si="1"/>
        <v>100</v>
      </c>
      <c r="Q8" s="12">
        <f t="shared" si="2"/>
        <v>10</v>
      </c>
    </row>
    <row r="9" spans="1:17" x14ac:dyDescent="0.35">
      <c r="A9" s="5" t="s">
        <v>23</v>
      </c>
      <c r="B9" s="6" t="s">
        <v>24</v>
      </c>
      <c r="C9" s="6" t="s">
        <v>25</v>
      </c>
      <c r="D9" s="6">
        <v>2</v>
      </c>
      <c r="E9" s="6">
        <v>3</v>
      </c>
      <c r="F9" s="6">
        <v>4</v>
      </c>
      <c r="G9" s="6">
        <v>5</v>
      </c>
      <c r="H9" s="6">
        <v>5</v>
      </c>
      <c r="I9" s="6">
        <v>3</v>
      </c>
      <c r="J9" s="6">
        <v>2</v>
      </c>
      <c r="K9" s="6">
        <v>2.5</v>
      </c>
      <c r="L9" s="6">
        <v>5</v>
      </c>
      <c r="M9" s="6">
        <v>5</v>
      </c>
      <c r="N9" s="5">
        <f t="shared" si="0"/>
        <v>36.5</v>
      </c>
      <c r="O9" s="6">
        <v>60</v>
      </c>
      <c r="P9" s="6">
        <f t="shared" si="1"/>
        <v>96.5</v>
      </c>
      <c r="Q9" s="12">
        <f t="shared" si="2"/>
        <v>10</v>
      </c>
    </row>
    <row r="10" spans="1:17" x14ac:dyDescent="0.35">
      <c r="A10" s="5" t="s">
        <v>26</v>
      </c>
      <c r="B10" s="6" t="s">
        <v>27</v>
      </c>
      <c r="C10" s="6" t="s">
        <v>28</v>
      </c>
      <c r="D10" s="6">
        <v>2</v>
      </c>
      <c r="E10" s="6">
        <v>0</v>
      </c>
      <c r="F10" s="6">
        <v>2</v>
      </c>
      <c r="G10" s="6">
        <v>0</v>
      </c>
      <c r="H10" s="6">
        <v>5</v>
      </c>
      <c r="I10" s="6">
        <v>3</v>
      </c>
      <c r="J10" s="6">
        <v>2</v>
      </c>
      <c r="K10" s="6">
        <v>2.5</v>
      </c>
      <c r="L10" s="6">
        <v>5</v>
      </c>
      <c r="M10" s="6">
        <v>4</v>
      </c>
      <c r="N10" s="5">
        <f t="shared" si="0"/>
        <v>25.5</v>
      </c>
      <c r="O10" s="6">
        <v>35</v>
      </c>
      <c r="P10" s="6">
        <f t="shared" si="1"/>
        <v>60.5</v>
      </c>
      <c r="Q10" s="12">
        <f t="shared" si="2"/>
        <v>7</v>
      </c>
    </row>
    <row r="11" spans="1:17" x14ac:dyDescent="0.35">
      <c r="A11" s="5" t="s">
        <v>29</v>
      </c>
      <c r="B11" s="6" t="s">
        <v>30</v>
      </c>
      <c r="C11" s="6" t="s">
        <v>31</v>
      </c>
      <c r="D11" s="6">
        <v>2</v>
      </c>
      <c r="E11" s="6">
        <v>1.5</v>
      </c>
      <c r="F11" s="6">
        <v>5</v>
      </c>
      <c r="G11" s="6">
        <v>5</v>
      </c>
      <c r="H11" s="6">
        <v>5</v>
      </c>
      <c r="I11" s="6">
        <v>3</v>
      </c>
      <c r="J11" s="6">
        <v>2</v>
      </c>
      <c r="K11" s="6">
        <v>5</v>
      </c>
      <c r="L11" s="6">
        <v>5</v>
      </c>
      <c r="M11" s="6">
        <v>5</v>
      </c>
      <c r="N11" s="5">
        <f t="shared" si="0"/>
        <v>38.5</v>
      </c>
      <c r="O11" s="6">
        <v>60</v>
      </c>
      <c r="P11" s="6">
        <f t="shared" si="1"/>
        <v>98.5</v>
      </c>
      <c r="Q11" s="12">
        <f t="shared" si="2"/>
        <v>10</v>
      </c>
    </row>
    <row r="12" spans="1:17" x14ac:dyDescent="0.35">
      <c r="A12" s="5" t="s">
        <v>33</v>
      </c>
      <c r="B12" s="6" t="s">
        <v>34</v>
      </c>
      <c r="C12" s="6" t="s">
        <v>35</v>
      </c>
      <c r="D12" s="6">
        <v>2</v>
      </c>
      <c r="E12" s="6">
        <v>3</v>
      </c>
      <c r="F12" s="6">
        <v>5</v>
      </c>
      <c r="G12" s="6">
        <v>0</v>
      </c>
      <c r="H12" s="6">
        <v>5</v>
      </c>
      <c r="I12" s="6">
        <v>3</v>
      </c>
      <c r="J12" s="6">
        <v>2</v>
      </c>
      <c r="K12" s="6">
        <v>5</v>
      </c>
      <c r="L12" s="6">
        <v>5</v>
      </c>
      <c r="M12" s="6">
        <v>5</v>
      </c>
      <c r="N12" s="5">
        <f t="shared" si="0"/>
        <v>35</v>
      </c>
      <c r="O12" s="6">
        <v>25</v>
      </c>
      <c r="P12" s="6">
        <f t="shared" si="1"/>
        <v>60</v>
      </c>
      <c r="Q12" s="12">
        <f t="shared" si="2"/>
        <v>7</v>
      </c>
    </row>
    <row r="13" spans="1:17" x14ac:dyDescent="0.35">
      <c r="A13" s="5" t="s">
        <v>36</v>
      </c>
      <c r="B13" s="6" t="s">
        <v>37</v>
      </c>
      <c r="C13" s="6" t="s">
        <v>38</v>
      </c>
      <c r="D13" s="6">
        <v>2</v>
      </c>
      <c r="E13" s="6">
        <v>3</v>
      </c>
      <c r="F13" s="6">
        <v>4</v>
      </c>
      <c r="G13" s="6">
        <v>5</v>
      </c>
      <c r="H13" s="6">
        <v>4</v>
      </c>
      <c r="I13" s="6">
        <v>2</v>
      </c>
      <c r="J13" s="6">
        <v>2</v>
      </c>
      <c r="K13" s="6">
        <v>5</v>
      </c>
      <c r="L13" s="6">
        <v>5</v>
      </c>
      <c r="M13" s="6">
        <v>5</v>
      </c>
      <c r="N13" s="5">
        <f t="shared" si="0"/>
        <v>37</v>
      </c>
      <c r="O13" s="6">
        <v>60</v>
      </c>
      <c r="P13" s="6">
        <f t="shared" si="1"/>
        <v>97</v>
      </c>
      <c r="Q13" s="12">
        <f t="shared" si="2"/>
        <v>10</v>
      </c>
    </row>
    <row r="14" spans="1:17" x14ac:dyDescent="0.35">
      <c r="A14" s="5" t="s">
        <v>39</v>
      </c>
      <c r="B14" s="6" t="s">
        <v>40</v>
      </c>
      <c r="C14" s="6" t="s">
        <v>41</v>
      </c>
      <c r="D14" s="6">
        <v>2</v>
      </c>
      <c r="E14" s="6">
        <v>1.5</v>
      </c>
      <c r="F14" s="6">
        <v>5</v>
      </c>
      <c r="G14" s="6">
        <v>5</v>
      </c>
      <c r="H14" s="6">
        <v>4</v>
      </c>
      <c r="I14" s="6">
        <v>2.5</v>
      </c>
      <c r="J14" s="6">
        <v>2</v>
      </c>
      <c r="K14" s="6">
        <v>5</v>
      </c>
      <c r="L14" s="6">
        <v>5</v>
      </c>
      <c r="M14" s="6">
        <v>5</v>
      </c>
      <c r="N14" s="5">
        <f t="shared" si="0"/>
        <v>37</v>
      </c>
      <c r="O14" s="6">
        <v>35</v>
      </c>
      <c r="P14" s="6">
        <f t="shared" si="1"/>
        <v>72</v>
      </c>
      <c r="Q14" s="12">
        <f t="shared" si="2"/>
        <v>8</v>
      </c>
    </row>
    <row r="15" spans="1:17" x14ac:dyDescent="0.35">
      <c r="A15" s="5" t="s">
        <v>42</v>
      </c>
      <c r="B15" s="6" t="s">
        <v>43</v>
      </c>
      <c r="C15" s="6" t="s">
        <v>44</v>
      </c>
      <c r="D15" s="6">
        <v>2</v>
      </c>
      <c r="E15" s="6">
        <v>3</v>
      </c>
      <c r="F15" s="6">
        <v>5</v>
      </c>
      <c r="G15" s="6">
        <v>5</v>
      </c>
      <c r="H15" s="6">
        <v>5</v>
      </c>
      <c r="I15" s="6">
        <v>3</v>
      </c>
      <c r="J15" s="6">
        <v>2</v>
      </c>
      <c r="K15" s="6">
        <v>4</v>
      </c>
      <c r="L15" s="6">
        <v>5</v>
      </c>
      <c r="M15" s="6">
        <v>5</v>
      </c>
      <c r="N15" s="5">
        <f t="shared" si="0"/>
        <v>39</v>
      </c>
      <c r="O15" s="6">
        <v>60</v>
      </c>
      <c r="P15" s="6">
        <f t="shared" si="1"/>
        <v>99</v>
      </c>
      <c r="Q15" s="12">
        <f t="shared" si="2"/>
        <v>10</v>
      </c>
    </row>
    <row r="16" spans="1:17" x14ac:dyDescent="0.35">
      <c r="A16" s="5" t="s">
        <v>45</v>
      </c>
      <c r="B16" s="6" t="s">
        <v>46</v>
      </c>
      <c r="C16" s="6" t="s">
        <v>32</v>
      </c>
      <c r="D16" s="6">
        <v>2</v>
      </c>
      <c r="E16" s="6">
        <v>1</v>
      </c>
      <c r="F16" s="6">
        <v>2</v>
      </c>
      <c r="G16" s="6">
        <v>0</v>
      </c>
      <c r="H16" s="6">
        <v>4</v>
      </c>
      <c r="I16" s="6">
        <v>0</v>
      </c>
      <c r="J16" s="6">
        <v>2</v>
      </c>
      <c r="K16" s="6">
        <v>4</v>
      </c>
      <c r="L16" s="6">
        <v>0</v>
      </c>
      <c r="M16" s="6">
        <v>2</v>
      </c>
      <c r="N16" s="5">
        <f t="shared" si="0"/>
        <v>17</v>
      </c>
      <c r="O16" s="6">
        <v>58</v>
      </c>
      <c r="P16" s="6">
        <f t="shared" si="1"/>
        <v>75</v>
      </c>
      <c r="Q16" s="12">
        <f t="shared" si="2"/>
        <v>8</v>
      </c>
    </row>
    <row r="17" spans="1:17" x14ac:dyDescent="0.35">
      <c r="A17" s="5" t="s">
        <v>47</v>
      </c>
      <c r="B17" s="6" t="s">
        <v>48</v>
      </c>
      <c r="C17" s="6" t="s">
        <v>49</v>
      </c>
      <c r="D17" s="6">
        <v>2</v>
      </c>
      <c r="E17" s="6">
        <v>3</v>
      </c>
      <c r="F17" s="6">
        <v>5</v>
      </c>
      <c r="G17" s="6">
        <v>5</v>
      </c>
      <c r="H17" s="6">
        <v>5</v>
      </c>
      <c r="I17" s="6">
        <v>3</v>
      </c>
      <c r="J17" s="6">
        <v>2</v>
      </c>
      <c r="K17" s="6">
        <v>5</v>
      </c>
      <c r="L17" s="6">
        <v>5</v>
      </c>
      <c r="M17" s="6">
        <v>5</v>
      </c>
      <c r="N17" s="5">
        <f t="shared" si="0"/>
        <v>40</v>
      </c>
      <c r="O17" s="6">
        <v>25</v>
      </c>
      <c r="P17" s="6">
        <f t="shared" si="1"/>
        <v>65</v>
      </c>
      <c r="Q17" s="12">
        <f t="shared" si="2"/>
        <v>7</v>
      </c>
    </row>
    <row r="18" spans="1:17" x14ac:dyDescent="0.35">
      <c r="A18" s="5" t="s">
        <v>50</v>
      </c>
      <c r="B18" s="6" t="s">
        <v>51</v>
      </c>
      <c r="C18" s="6" t="s">
        <v>52</v>
      </c>
      <c r="D18" s="6">
        <v>1</v>
      </c>
      <c r="E18" s="6">
        <v>0</v>
      </c>
      <c r="F18" s="6">
        <v>2</v>
      </c>
      <c r="G18" s="6">
        <v>0</v>
      </c>
      <c r="H18" s="6">
        <v>3</v>
      </c>
      <c r="I18" s="6">
        <v>0</v>
      </c>
      <c r="J18" s="6">
        <v>2</v>
      </c>
      <c r="K18" s="6">
        <v>2.5</v>
      </c>
      <c r="L18" s="6">
        <v>5</v>
      </c>
      <c r="M18" s="6">
        <v>2</v>
      </c>
      <c r="N18" s="5">
        <f t="shared" si="0"/>
        <v>17.5</v>
      </c>
      <c r="O18" s="6">
        <v>25</v>
      </c>
      <c r="P18" s="6">
        <f t="shared" si="1"/>
        <v>42.5</v>
      </c>
      <c r="Q18" s="12" t="str">
        <f t="shared" si="2"/>
        <v>\</v>
      </c>
    </row>
    <row r="19" spans="1:17" x14ac:dyDescent="0.35">
      <c r="A19" s="5" t="s">
        <v>53</v>
      </c>
      <c r="B19" s="6" t="s">
        <v>54</v>
      </c>
      <c r="C19" s="6" t="s">
        <v>55</v>
      </c>
      <c r="D19" s="6">
        <v>2</v>
      </c>
      <c r="E19" s="6">
        <v>3</v>
      </c>
      <c r="F19" s="6">
        <v>4</v>
      </c>
      <c r="G19" s="6">
        <v>0</v>
      </c>
      <c r="H19" s="6">
        <v>5</v>
      </c>
      <c r="I19" s="6">
        <v>0</v>
      </c>
      <c r="J19" s="6">
        <v>2</v>
      </c>
      <c r="K19" s="6">
        <v>4</v>
      </c>
      <c r="L19" s="6">
        <v>3</v>
      </c>
      <c r="M19" s="6">
        <v>4</v>
      </c>
      <c r="N19" s="5">
        <f t="shared" si="0"/>
        <v>27</v>
      </c>
      <c r="O19" s="6">
        <v>60</v>
      </c>
      <c r="P19" s="6">
        <f t="shared" si="1"/>
        <v>87</v>
      </c>
      <c r="Q19" s="12">
        <f t="shared" si="2"/>
        <v>9</v>
      </c>
    </row>
    <row r="20" spans="1:17" x14ac:dyDescent="0.35">
      <c r="A20" s="5" t="s">
        <v>56</v>
      </c>
      <c r="B20" s="6" t="s">
        <v>57</v>
      </c>
      <c r="C20" s="6" t="s">
        <v>58</v>
      </c>
      <c r="D20" s="6">
        <v>2</v>
      </c>
      <c r="E20" s="6">
        <v>0</v>
      </c>
      <c r="F20" s="6">
        <v>4</v>
      </c>
      <c r="G20" s="6">
        <v>5</v>
      </c>
      <c r="H20" s="6">
        <v>4</v>
      </c>
      <c r="I20" s="6">
        <v>1</v>
      </c>
      <c r="J20" s="6">
        <v>2</v>
      </c>
      <c r="K20" s="6">
        <v>5</v>
      </c>
      <c r="L20" s="6">
        <v>5</v>
      </c>
      <c r="M20" s="6">
        <v>4</v>
      </c>
      <c r="N20" s="5">
        <f t="shared" si="0"/>
        <v>32</v>
      </c>
      <c r="O20" s="6">
        <v>25</v>
      </c>
      <c r="P20" s="6">
        <f t="shared" si="1"/>
        <v>57</v>
      </c>
      <c r="Q20" s="12">
        <f t="shared" si="2"/>
        <v>6</v>
      </c>
    </row>
    <row r="21" spans="1:17" x14ac:dyDescent="0.35">
      <c r="A21" s="5" t="s">
        <v>59</v>
      </c>
      <c r="B21" s="6" t="s">
        <v>60</v>
      </c>
      <c r="C21" s="6" t="s">
        <v>58</v>
      </c>
      <c r="D21" s="6">
        <v>1</v>
      </c>
      <c r="E21" s="6">
        <v>0</v>
      </c>
      <c r="F21" s="6">
        <v>5</v>
      </c>
      <c r="G21" s="6">
        <v>5</v>
      </c>
      <c r="H21" s="6">
        <v>3</v>
      </c>
      <c r="I21" s="6">
        <v>3</v>
      </c>
      <c r="J21" s="6">
        <v>2</v>
      </c>
      <c r="K21" s="6">
        <v>5</v>
      </c>
      <c r="L21" s="6">
        <v>5</v>
      </c>
      <c r="M21" s="6">
        <v>5</v>
      </c>
      <c r="N21" s="5">
        <f t="shared" si="0"/>
        <v>34</v>
      </c>
      <c r="O21" s="6">
        <v>25</v>
      </c>
      <c r="P21" s="6">
        <f t="shared" si="1"/>
        <v>59</v>
      </c>
      <c r="Q21" s="12">
        <f t="shared" si="2"/>
        <v>6</v>
      </c>
    </row>
    <row r="22" spans="1:17" x14ac:dyDescent="0.35">
      <c r="A22" s="5" t="s">
        <v>61</v>
      </c>
      <c r="B22" s="6" t="s">
        <v>62</v>
      </c>
      <c r="C22" s="6" t="s">
        <v>63</v>
      </c>
      <c r="D22" s="6">
        <v>0</v>
      </c>
      <c r="E22" s="6">
        <v>3</v>
      </c>
      <c r="F22" s="6">
        <v>5</v>
      </c>
      <c r="G22" s="6">
        <v>0</v>
      </c>
      <c r="H22" s="6">
        <v>5</v>
      </c>
      <c r="I22" s="6">
        <v>3</v>
      </c>
      <c r="J22" s="6">
        <v>2</v>
      </c>
      <c r="K22" s="6">
        <v>4</v>
      </c>
      <c r="L22" s="6">
        <v>5</v>
      </c>
      <c r="M22" s="6">
        <v>5</v>
      </c>
      <c r="N22" s="5">
        <f t="shared" si="0"/>
        <v>32</v>
      </c>
      <c r="O22" s="6">
        <v>25</v>
      </c>
      <c r="P22" s="6">
        <f t="shared" si="1"/>
        <v>57</v>
      </c>
      <c r="Q22" s="12">
        <f t="shared" si="2"/>
        <v>6</v>
      </c>
    </row>
    <row r="23" spans="1:17" x14ac:dyDescent="0.35">
      <c r="A23" s="13" t="s">
        <v>64</v>
      </c>
      <c r="B23" s="14" t="s">
        <v>65</v>
      </c>
      <c r="C23" s="14" t="s">
        <v>10</v>
      </c>
      <c r="D23" s="14">
        <v>1</v>
      </c>
      <c r="E23" s="14">
        <v>0</v>
      </c>
      <c r="F23" s="14">
        <v>3</v>
      </c>
      <c r="G23" s="14">
        <v>0</v>
      </c>
      <c r="H23" s="14">
        <v>3</v>
      </c>
      <c r="I23" s="14">
        <v>1</v>
      </c>
      <c r="J23" s="14">
        <v>1</v>
      </c>
      <c r="K23" s="14">
        <v>0</v>
      </c>
      <c r="L23" s="14">
        <v>5</v>
      </c>
      <c r="M23" s="14">
        <v>4</v>
      </c>
      <c r="N23" s="13">
        <f t="shared" si="0"/>
        <v>18</v>
      </c>
      <c r="O23" s="14">
        <v>25</v>
      </c>
      <c r="P23" s="14">
        <f t="shared" si="1"/>
        <v>43</v>
      </c>
      <c r="Q23" s="15" t="str">
        <f t="shared" si="2"/>
        <v>\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spisak_2023_20_SES203_SV_rokJ1_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Jelena Slivka</cp:lastModifiedBy>
  <dcterms:created xsi:type="dcterms:W3CDTF">2024-06-13T13:40:17Z</dcterms:created>
  <dcterms:modified xsi:type="dcterms:W3CDTF">2024-06-19T14:40:40Z</dcterms:modified>
</cp:coreProperties>
</file>